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80" yWindow="0" windowWidth="25425" windowHeight="20985" tabRatio="600" firstSheet="0" activeTab="1" autoFilterDateGrouping="1"/>
  </bookViews>
  <sheets>
    <sheet name="Main" sheetId="1" state="visible" r:id="rId1"/>
    <sheet name="Mode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;[Red]#,##0.0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olor rgb="FF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horizontal="right"/>
    </xf>
    <xf numFmtId="9" fontId="0" fillId="0" borderId="0" applyAlignment="1" pivotButton="0" quotePrefix="0" xfId="0">
      <alignment horizontal="right"/>
    </xf>
    <xf numFmtId="0" fontId="2" fillId="0" borderId="0" pivotButton="0" quotePrefix="0" xfId="1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164" fontId="0" fillId="0" borderId="0" pivotButton="0" quotePrefix="0" xfId="0"/>
    <xf numFmtId="0" fontId="3" fillId="0" borderId="0" applyAlignment="1" pivotButton="0" quotePrefix="0" xfId="0">
      <alignment horizontal="righ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85725</xdr:rowOff>
    </xdr:from>
    <xdr:to>
      <xdr:col>12</xdr:col>
      <xdr:colOff>0</xdr:colOff>
      <xdr:row>35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01AD764-08F4-9DB7-F8E5-794547143548}"/>
            </a:ext>
          </a:extLst>
        </xdr:cNvPr>
        <xdr:cNvCxnSpPr/>
      </xdr:nvCxnSpPr>
      <xdr:spPr>
        <a:xfrm>
          <a:off x="4876800" y="85725"/>
          <a:ext cx="0" cy="58197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469367/000146936724000091/exhibit991q124.htm" TargetMode="External" Id="rId1" /><Relationship Type="http://schemas.openxmlformats.org/officeDocument/2006/relationships/hyperlink" Target="https://www.sec.gov/Archives/edgar/data/1469367/000146936724000144/exhibit991q224.htm" TargetMode="External" Id="rId2" /><Relationship Type="http://schemas.openxmlformats.org/officeDocument/2006/relationships/hyperlink" Target="https://www.sec.gov/Archives/edgar/data/1469367/000146936724000198/exhibit991q324.htm" TargetMode="External" Id="rId3" /><Relationship Type="http://schemas.openxmlformats.org/officeDocument/2006/relationships/hyperlink" Target="https://www.sec.gov/Archives/edgar/data/1469367/000146936725000037/q4248-kexhibit991.htm" TargetMode="External" Id="rId4" /><Relationship Type="http://schemas.openxmlformats.org/officeDocument/2006/relationships/hyperlink" Target="https://www.sec.gov/Archives/edgar/data/1469367/000146936725000103/exhibit991q125.htm" TargetMode="External" Id="rId5" /><Relationship Type="http://schemas.openxmlformats.org/officeDocument/2006/relationships/hyperlink" Target="https://www.sec.gov/Archives/edgar/data/1469367/000146936725000147/exhibit991q225.htm" TargetMode="External" Id="rId6" /><Relationship Type="http://schemas.openxmlformats.org/officeDocument/2006/relationships/hyperlink" Target="https://www.sec.gov/Archives/edgar/data/1469367/000162828025050170/exhibit991q325.htm" TargetMode="External" Id="rId7" /><Relationship Type="http://schemas.openxmlformats.org/officeDocument/2006/relationships/hyperlink" Target="https://www.sec.gov/Archives/edgar/data/1469367/000162828026012266/q4258-kexhibit991.htm" TargetMode="External" Id="rId8" /><Relationship Type="http://schemas.openxmlformats.org/officeDocument/2006/relationships/hyperlink" Target="https://www.sec.gov/Archives/edgar/data/1469367/000162828026031259/exhibit991q126.htm" TargetMode="External" Id="rId9" /><Relationship Type="http://schemas.openxmlformats.org/officeDocument/2006/relationships/hyperlink" Target="https://www.sec.gov/Archives/edgar/data/1469367/000162828026053349/exhibit991q226.htm" TargetMode="External" Id="rId10" /><Relationship Id="rId1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S10"/>
  <sheetViews>
    <sheetView workbookViewId="0">
      <selection activeCell="B6" sqref="B6"/>
    </sheetView>
  </sheetViews>
  <sheetFormatPr baseColWidth="8" defaultRowHeight="15" outlineLevelCol="0"/>
  <cols>
    <col width="15.42578125" bestFit="1" customWidth="1" min="19" max="19"/>
  </cols>
  <sheetData>
    <row r="4">
      <c r="B4" t="inlineStr">
        <is>
          <t>Restricted cash - contractually / legally commited to a purpose (debt convenants, etc)</t>
        </is>
      </c>
    </row>
    <row r="5">
      <c r="B5" t="inlineStr">
        <is>
          <t>Net loss attributable to noncontrolling interests and redeemable noncontrolling interests is financing structure (tax equity)</t>
        </is>
      </c>
      <c r="R5" t="inlineStr">
        <is>
          <t>Price</t>
        </is>
      </c>
      <c r="S5" s="8" t="n">
        <v>9.26</v>
      </c>
    </row>
    <row r="6">
      <c r="R6" t="inlineStr">
        <is>
          <t>Shares</t>
        </is>
      </c>
      <c r="S6" s="2" t="n">
        <v>240846</v>
      </c>
    </row>
    <row r="7">
      <c r="R7" t="inlineStr">
        <is>
          <t>Mkt Cap</t>
        </is>
      </c>
      <c r="S7" s="2">
        <f>S6*S5</f>
        <v/>
      </c>
    </row>
    <row r="8">
      <c r="R8" t="inlineStr">
        <is>
          <t>Cash</t>
        </is>
      </c>
      <c r="S8">
        <f>712+235</f>
        <v/>
      </c>
    </row>
    <row r="9">
      <c r="R9" t="inlineStr">
        <is>
          <t>Debt</t>
        </is>
      </c>
      <c r="S9">
        <f>321+49+444+154+188</f>
        <v/>
      </c>
    </row>
    <row r="10">
      <c r="R10" t="inlineStr">
        <is>
          <t>EV</t>
        </is>
      </c>
      <c r="S10" s="2">
        <f>S7-S8+S9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20" sqref="H20"/>
    </sheetView>
  </sheetViews>
  <sheetFormatPr baseColWidth="8" defaultRowHeight="15" outlineLevelCol="0"/>
  <cols>
    <col width="38.42578125" bestFit="1" customWidth="1" min="2" max="2"/>
    <col width="9.140625" customWidth="1" style="3" min="3" max="18"/>
  </cols>
  <sheetData>
    <row r="1">
      <c r="A1" s="5" t="inlineStr">
        <is>
          <t>Main</t>
        </is>
      </c>
    </row>
    <row r="2">
      <c r="C2" s="9" t="inlineStr">
        <is>
          <t>Q12024</t>
        </is>
      </c>
      <c r="D2" s="9" t="inlineStr">
        <is>
          <t>Q22024</t>
        </is>
      </c>
      <c r="E2" s="9" t="inlineStr">
        <is>
          <t>Q32024</t>
        </is>
      </c>
      <c r="F2" s="9" t="inlineStr">
        <is>
          <t>Q42024</t>
        </is>
      </c>
      <c r="G2" s="9" t="inlineStr">
        <is>
          <t>Q12025</t>
        </is>
      </c>
      <c r="H2" s="9" t="inlineStr">
        <is>
          <t>Q22025</t>
        </is>
      </c>
      <c r="I2" s="9" t="inlineStr">
        <is>
          <t>Q32025</t>
        </is>
      </c>
      <c r="J2" s="9" t="inlineStr">
        <is>
          <t>Q42025</t>
        </is>
      </c>
      <c r="K2" s="9" t="inlineStr">
        <is>
          <t>Q12026</t>
        </is>
      </c>
      <c r="L2" s="9" t="inlineStr">
        <is>
          <t>Q22026</t>
        </is>
      </c>
      <c r="M2" s="3" t="inlineStr">
        <is>
          <t>Q32026</t>
        </is>
      </c>
      <c r="N2" s="3" t="inlineStr">
        <is>
          <t>Q42026</t>
        </is>
      </c>
      <c r="O2" s="3" t="inlineStr">
        <is>
          <t>Q12027</t>
        </is>
      </c>
      <c r="P2" s="3" t="inlineStr">
        <is>
          <t>Q22027</t>
        </is>
      </c>
      <c r="Q2" s="3" t="inlineStr">
        <is>
          <t>Q32027</t>
        </is>
      </c>
      <c r="R2" s="3" t="inlineStr">
        <is>
          <t>Q42027</t>
        </is>
      </c>
      <c r="W2" t="n">
        <v>2025</v>
      </c>
      <c r="X2" t="n">
        <v>2026</v>
      </c>
      <c r="Y2" t="n">
        <v>2027</v>
      </c>
      <c r="Z2" t="n">
        <v>2028</v>
      </c>
      <c r="AA2" t="n">
        <v>2029</v>
      </c>
      <c r="AB2" t="n">
        <v>2030</v>
      </c>
      <c r="AC2" t="n">
        <v>2031</v>
      </c>
      <c r="AD2" t="n">
        <v>2032</v>
      </c>
      <c r="AE2" t="n">
        <v>2033</v>
      </c>
      <c r="AF2" t="n">
        <v>2034</v>
      </c>
      <c r="AG2" t="n">
        <v>2035</v>
      </c>
    </row>
    <row r="3">
      <c r="B3" t="inlineStr">
        <is>
          <t>Customer agreements and incentives</t>
        </is>
      </c>
      <c r="G3" s="3">
        <f>861-H3</f>
        <v/>
      </c>
      <c r="H3" s="3" t="n">
        <v>458</v>
      </c>
      <c r="J3" s="3" t="n">
        <v>544</v>
      </c>
      <c r="K3" s="3">
        <f>1011-L3</f>
        <v/>
      </c>
      <c r="L3" s="3" t="n">
        <v>544</v>
      </c>
    </row>
    <row r="4">
      <c r="B4" t="inlineStr">
        <is>
          <t>Energy systems and product sales</t>
        </is>
      </c>
      <c r="G4" s="3">
        <f>212-H4</f>
        <v/>
      </c>
      <c r="H4" s="3" t="n">
        <v>111</v>
      </c>
      <c r="J4" s="3" t="n">
        <v>326</v>
      </c>
      <c r="K4" s="3">
        <f>581-L4</f>
        <v/>
      </c>
      <c r="L4" s="3" t="n">
        <v>326</v>
      </c>
    </row>
    <row r="5">
      <c r="B5" s="6" t="inlineStr">
        <is>
          <t>Revenue</t>
        </is>
      </c>
      <c r="C5" s="7" t="n"/>
      <c r="D5" s="7" t="n"/>
      <c r="E5" s="7" t="n"/>
      <c r="F5" s="7" t="n"/>
      <c r="G5" s="7">
        <f>SUM(G3:G4)</f>
        <v/>
      </c>
      <c r="H5" s="7">
        <f>SUM(H3:H4)</f>
        <v/>
      </c>
      <c r="I5" s="7" t="n"/>
      <c r="J5" s="7">
        <f>SUM(J3:J4)</f>
        <v/>
      </c>
      <c r="K5" s="7">
        <f>SUM(K3:K4)</f>
        <v/>
      </c>
      <c r="L5" s="7">
        <f>SUM(L3:L4)</f>
        <v/>
      </c>
      <c r="M5" s="7" t="n"/>
      <c r="N5" s="7" t="n"/>
      <c r="O5" s="7" t="n"/>
      <c r="P5" s="7" t="n"/>
      <c r="Q5" s="7" t="n"/>
      <c r="R5" s="7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</row>
    <row r="6">
      <c r="B6" t="inlineStr">
        <is>
          <t>Customer agreements and incentives cost</t>
        </is>
      </c>
      <c r="G6" s="3">
        <f>654-H6</f>
        <v/>
      </c>
      <c r="H6" s="3" t="n">
        <v>345</v>
      </c>
      <c r="J6" s="3" t="n">
        <v>342</v>
      </c>
      <c r="K6" s="3">
        <f>657-L6</f>
        <v/>
      </c>
      <c r="L6" s="3" t="n">
        <v>342</v>
      </c>
    </row>
    <row r="7">
      <c r="B7" t="inlineStr">
        <is>
          <t>Energy systems and product sales cost</t>
        </is>
      </c>
      <c r="G7" s="3">
        <f>201-H7</f>
        <v/>
      </c>
      <c r="H7" s="3" t="n">
        <v>104</v>
      </c>
      <c r="J7" s="3" t="n">
        <v>199</v>
      </c>
      <c r="K7" s="3">
        <f>387-L7</f>
        <v/>
      </c>
      <c r="L7" s="3" t="n">
        <v>199</v>
      </c>
    </row>
    <row r="8">
      <c r="B8" t="inlineStr">
        <is>
          <t>S&amp;M</t>
        </is>
      </c>
      <c r="G8" s="3">
        <f>298-H8</f>
        <v/>
      </c>
      <c r="H8" s="3" t="n">
        <v>152</v>
      </c>
      <c r="J8" s="3" t="n">
        <v>191</v>
      </c>
      <c r="K8" s="3">
        <f>369-L8</f>
        <v/>
      </c>
      <c r="L8" s="3" t="n">
        <v>191</v>
      </c>
    </row>
    <row r="9">
      <c r="B9" t="inlineStr">
        <is>
          <t>R&amp;D</t>
        </is>
      </c>
      <c r="G9" s="3">
        <f>18-H9</f>
        <v/>
      </c>
      <c r="H9" s="3" t="n">
        <v>8</v>
      </c>
      <c r="J9" s="3" t="n">
        <v>10</v>
      </c>
      <c r="K9" s="3">
        <f>20-L9</f>
        <v/>
      </c>
      <c r="L9" s="3" t="n">
        <v>10</v>
      </c>
    </row>
    <row r="10">
      <c r="B10" t="inlineStr">
        <is>
          <t>G&amp;A</t>
        </is>
      </c>
      <c r="G10" s="3">
        <f>129-H10</f>
        <v/>
      </c>
      <c r="H10" s="3" t="n">
        <v>72</v>
      </c>
      <c r="J10" s="3" t="n">
        <v>93</v>
      </c>
      <c r="K10" s="3">
        <f>167-L10</f>
        <v/>
      </c>
      <c r="L10" s="3" t="n">
        <v>93</v>
      </c>
    </row>
    <row r="11">
      <c r="B11" t="inlineStr">
        <is>
          <t>Operating Expenses</t>
        </is>
      </c>
      <c r="G11" s="3">
        <f>SUM(G6:G10)</f>
        <v/>
      </c>
      <c r="H11" s="3">
        <f>SUM(H6:H10)</f>
        <v/>
      </c>
      <c r="I11" s="3">
        <f>SUM(I6:I10)</f>
        <v/>
      </c>
      <c r="J11" s="3">
        <f>SUM(J6:J10)</f>
        <v/>
      </c>
      <c r="K11" s="3">
        <f>SUM(K6:K10)</f>
        <v/>
      </c>
      <c r="L11" s="3">
        <f>SUM(L6:L10)</f>
        <v/>
      </c>
    </row>
    <row r="12">
      <c r="B12" s="6" t="inlineStr">
        <is>
          <t>Operating Income</t>
        </is>
      </c>
      <c r="C12" s="7" t="n"/>
      <c r="D12" s="7" t="n"/>
      <c r="E12" s="7" t="n"/>
      <c r="F12" s="7" t="n"/>
      <c r="G12" s="7">
        <f>G5-G11</f>
        <v/>
      </c>
      <c r="H12" s="7">
        <f>H5-H11</f>
        <v/>
      </c>
      <c r="I12" s="7">
        <f>I5-I11</f>
        <v/>
      </c>
      <c r="J12" s="7">
        <f>J5-J11</f>
        <v/>
      </c>
      <c r="K12" s="7">
        <f>K5-K11</f>
        <v/>
      </c>
      <c r="L12" s="7">
        <f>L5-L11</f>
        <v/>
      </c>
    </row>
    <row r="13">
      <c r="B13" t="inlineStr">
        <is>
          <t>Interest</t>
        </is>
      </c>
      <c r="G13" s="3">
        <f>-475-H13</f>
        <v/>
      </c>
      <c r="H13" s="3" t="n">
        <v>-247</v>
      </c>
      <c r="J13" s="3" t="n">
        <v>-264</v>
      </c>
      <c r="K13" s="3">
        <f>-528-L13</f>
        <v/>
      </c>
      <c r="L13" s="3" t="n">
        <v>-264</v>
      </c>
    </row>
    <row r="14">
      <c r="B14" t="inlineStr">
        <is>
          <t>Other income</t>
        </is>
      </c>
      <c r="G14" s="3">
        <f>-60-H14</f>
        <v/>
      </c>
      <c r="H14" s="3" t="n">
        <v>-15</v>
      </c>
      <c r="J14" s="3" t="n">
        <v>17</v>
      </c>
      <c r="K14" s="3">
        <f>35-L14</f>
        <v/>
      </c>
      <c r="L14" s="3" t="n">
        <v>17</v>
      </c>
    </row>
    <row r="15">
      <c r="B15" s="6" t="inlineStr">
        <is>
          <t>EBT</t>
        </is>
      </c>
      <c r="C15" s="7" t="n"/>
      <c r="D15" s="7" t="n"/>
      <c r="E15" s="7" t="n"/>
      <c r="F15" s="7" t="n"/>
      <c r="G15" s="7">
        <f>+G12+G13+G14</f>
        <v/>
      </c>
      <c r="H15" s="7">
        <f>+H12+H13+H14</f>
        <v/>
      </c>
      <c r="I15" s="7">
        <f>+I12+I13+I14</f>
        <v/>
      </c>
      <c r="J15" s="7">
        <f>+J12+J13+J14</f>
        <v/>
      </c>
      <c r="K15" s="7">
        <f>+K12+K13+K14</f>
        <v/>
      </c>
      <c r="L15" s="7">
        <f>+L12+L13+L14</f>
        <v/>
      </c>
      <c r="M15" s="7" t="n"/>
      <c r="N15" s="7" t="n"/>
      <c r="O15" s="7" t="n"/>
      <c r="P15" s="7" t="n"/>
      <c r="Q15" s="7" t="n"/>
      <c r="R15" s="7" t="n"/>
    </row>
    <row r="16">
      <c r="B16" t="inlineStr">
        <is>
          <t>Tax</t>
        </is>
      </c>
      <c r="G16" s="3">
        <f>-205-H16</f>
        <v/>
      </c>
      <c r="H16" s="3" t="n">
        <v>-95</v>
      </c>
      <c r="J16" s="3" t="n">
        <v>-4</v>
      </c>
      <c r="K16" s="3">
        <f>-3-L16</f>
        <v/>
      </c>
      <c r="L16" s="3" t="n">
        <v>-4</v>
      </c>
    </row>
    <row r="17">
      <c r="B17" t="inlineStr">
        <is>
          <t>Earnings</t>
        </is>
      </c>
      <c r="G17" s="3">
        <f>+G15-G16</f>
        <v/>
      </c>
      <c r="H17" s="3">
        <f>+H15-H16</f>
        <v/>
      </c>
      <c r="I17" s="3">
        <f>+I15-I16</f>
        <v/>
      </c>
      <c r="J17" s="3">
        <f>+J15-J16</f>
        <v/>
      </c>
      <c r="K17" s="3">
        <f>+K15-K16</f>
        <v/>
      </c>
      <c r="L17" s="3">
        <f>+L15-L16</f>
        <v/>
      </c>
    </row>
    <row r="22">
      <c r="B22" t="inlineStr">
        <is>
          <t>Revenue y/y</t>
        </is>
      </c>
      <c r="K22" s="4">
        <f>K5/G5-1</f>
        <v/>
      </c>
      <c r="L22" s="4">
        <f>L5/H5-1</f>
        <v/>
      </c>
    </row>
    <row r="23">
      <c r="B23" t="inlineStr">
        <is>
          <t>Operating margin</t>
        </is>
      </c>
      <c r="C23" s="4">
        <f>C12/C5</f>
        <v/>
      </c>
      <c r="D23" s="4">
        <f>D12/D5</f>
        <v/>
      </c>
      <c r="E23" s="4">
        <f>E12/E5</f>
        <v/>
      </c>
      <c r="F23" s="4">
        <f>F12/F5</f>
        <v/>
      </c>
      <c r="G23" s="4">
        <f>G12/G5</f>
        <v/>
      </c>
      <c r="H23" s="4">
        <f>H12/H5</f>
        <v/>
      </c>
      <c r="I23" s="4">
        <f>I12/I5</f>
        <v/>
      </c>
      <c r="J23" s="4">
        <f>J12/J5</f>
        <v/>
      </c>
      <c r="K23" s="4">
        <f>K12/K5</f>
        <v/>
      </c>
      <c r="L23" s="4">
        <f>L12/L5</f>
        <v/>
      </c>
    </row>
    <row r="24">
      <c r="B24" t="inlineStr">
        <is>
          <t>Shares outstanding</t>
        </is>
      </c>
      <c r="K24" s="3">
        <f>+(227*2)-L24</f>
        <v/>
      </c>
      <c r="L24" s="3" t="n">
        <v>229</v>
      </c>
    </row>
    <row r="26">
      <c r="B26" t="inlineStr">
        <is>
          <t>Tax rate</t>
        </is>
      </c>
      <c r="C26" s="4">
        <f>C16/C15</f>
        <v/>
      </c>
      <c r="D26" s="4">
        <f>D16/D15</f>
        <v/>
      </c>
      <c r="E26" s="4">
        <f>E16/E15</f>
        <v/>
      </c>
      <c r="F26" s="4">
        <f>F16/F15</f>
        <v/>
      </c>
      <c r="G26" s="4">
        <f>G16/G15</f>
        <v/>
      </c>
      <c r="H26" s="4">
        <f>H16/H15</f>
        <v/>
      </c>
      <c r="I26" s="4">
        <f>I16/I15</f>
        <v/>
      </c>
      <c r="J26" s="4">
        <f>J16/J15</f>
        <v/>
      </c>
      <c r="K26" s="4">
        <f>K16/K15</f>
        <v/>
      </c>
      <c r="L26" s="4">
        <f>L16/L15</f>
        <v/>
      </c>
    </row>
  </sheetData>
  <hyperlinks>
    <hyperlink ref="A1" location="Main!A1" display="Main"/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K2" r:id="rId9"/>
    <hyperlink xmlns:r="http://schemas.openxmlformats.org/officeDocument/2006/relationships" ref="L2" r:id="rId10"/>
  </hyperlinks>
  <pageMargins left="0.7" right="0.7" top="0.75" bottom="0.75" header="0.3" footer="0.3"/>
  <drawing xmlns:r="http://schemas.openxmlformats.org/officeDocument/2006/relationships" r:id="rId1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2026-08-19T13:38:23Z</dcterms:created>
  <dcterms:modified xsi:type="dcterms:W3CDTF">2026-09-15T18:08:24Z</dcterms:modified>
  <cp:lastModifiedBy>Dillon Walton</cp:lastModifiedBy>
</cp:coreProperties>
</file>