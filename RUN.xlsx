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5645502E-B774-488D-8ABC-F46A7A3BC114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Main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1" l="1"/>
  <c r="S8" i="1"/>
  <c r="S7" i="1"/>
  <c r="S10" i="1" s="1"/>
  <c r="AO26" i="2"/>
  <c r="AN26" i="2"/>
  <c r="AM26" i="2"/>
  <c r="AL26" i="2"/>
  <c r="AT24" i="2"/>
  <c r="AO23" i="2"/>
  <c r="AN23" i="2"/>
  <c r="AM23" i="2"/>
  <c r="AL23" i="2"/>
  <c r="AT16" i="2"/>
  <c r="AP16" i="2"/>
  <c r="AT14" i="2"/>
  <c r="AP14" i="2"/>
  <c r="AT13" i="2"/>
  <c r="AP13" i="2"/>
  <c r="AR12" i="2"/>
  <c r="AR15" i="2" s="1"/>
  <c r="AU11" i="2"/>
  <c r="AS11" i="2"/>
  <c r="AR11" i="2"/>
  <c r="AQ11" i="2"/>
  <c r="AT10" i="2"/>
  <c r="AP10" i="2"/>
  <c r="AT9" i="2"/>
  <c r="AP9" i="2"/>
  <c r="AT8" i="2"/>
  <c r="AP8" i="2"/>
  <c r="AT7" i="2"/>
  <c r="AP7" i="2"/>
  <c r="AT6" i="2"/>
  <c r="AT11" i="2" s="1"/>
  <c r="AP6" i="2"/>
  <c r="AU5" i="2"/>
  <c r="AS5" i="2"/>
  <c r="AQ5" i="2"/>
  <c r="AQ12" i="2" s="1"/>
  <c r="AQ15" i="2" s="1"/>
  <c r="AT4" i="2"/>
  <c r="AP4" i="2"/>
  <c r="AT3" i="2"/>
  <c r="AP3" i="2"/>
  <c r="AP5" i="2" s="1"/>
  <c r="AU22" i="2" l="1"/>
  <c r="AS12" i="2"/>
  <c r="AT5" i="2"/>
  <c r="AU12" i="2"/>
  <c r="AP11" i="2"/>
  <c r="AP12" i="2" s="1"/>
  <c r="AU15" i="2"/>
  <c r="AU23" i="2"/>
  <c r="AR17" i="2"/>
  <c r="AR26" i="2"/>
  <c r="AT12" i="2"/>
  <c r="AT22" i="2"/>
  <c r="AS15" i="2"/>
  <c r="AS23" i="2"/>
  <c r="AQ17" i="2"/>
  <c r="AQ26" i="2"/>
  <c r="AQ23" i="2"/>
  <c r="AR23" i="2"/>
  <c r="AP15" i="2" l="1"/>
  <c r="AP23" i="2"/>
  <c r="AS26" i="2"/>
  <c r="AS17" i="2"/>
  <c r="AT15" i="2"/>
  <c r="AT23" i="2"/>
  <c r="AU17" i="2"/>
  <c r="AU26" i="2"/>
  <c r="AT26" i="2" l="1"/>
  <c r="AT17" i="2"/>
  <c r="AP17" i="2"/>
  <c r="AP26" i="2"/>
</calcChain>
</file>

<file path=xl/sharedStrings.xml><?xml version="1.0" encoding="utf-8"?>
<sst xmlns="http://schemas.openxmlformats.org/spreadsheetml/2006/main" count="79" uniqueCount="79">
  <si>
    <t>Main</t>
  </si>
  <si>
    <t>Q12024</t>
  </si>
  <si>
    <t>Q22024</t>
  </si>
  <si>
    <t>Q32024</t>
  </si>
  <si>
    <t>Q42024</t>
  </si>
  <si>
    <t>Q12025</t>
  </si>
  <si>
    <t>Q22025</t>
  </si>
  <si>
    <t>Q32025</t>
  </si>
  <si>
    <t>Q42025</t>
  </si>
  <si>
    <t>Q12026</t>
  </si>
  <si>
    <t>Q22026</t>
  </si>
  <si>
    <t>Q32026</t>
  </si>
  <si>
    <t>Q42026</t>
  </si>
  <si>
    <t>Q12027</t>
  </si>
  <si>
    <t>Q22027</t>
  </si>
  <si>
    <t>Q32027</t>
  </si>
  <si>
    <t>Q42027</t>
  </si>
  <si>
    <t>Customer agreements and incentives</t>
  </si>
  <si>
    <t>Energy systems and product sales</t>
  </si>
  <si>
    <t>Revenue</t>
  </si>
  <si>
    <t>Customer agreements and incentives cost</t>
  </si>
  <si>
    <t>Energy systems and product sales cost</t>
  </si>
  <si>
    <t>S&amp;M</t>
  </si>
  <si>
    <t>R&amp;D</t>
  </si>
  <si>
    <t>G&amp;A</t>
  </si>
  <si>
    <t>Operating Expenses</t>
  </si>
  <si>
    <t>Operating Income</t>
  </si>
  <si>
    <t>Interest</t>
  </si>
  <si>
    <t>Other income</t>
  </si>
  <si>
    <t>EBT</t>
  </si>
  <si>
    <t>Tax</t>
  </si>
  <si>
    <t>Earnings</t>
  </si>
  <si>
    <t>Revenue y/y</t>
  </si>
  <si>
    <t>Operating margin</t>
  </si>
  <si>
    <t>Shares outstanding</t>
  </si>
  <si>
    <t>Tax rate</t>
  </si>
  <si>
    <t>Restricted cash - contractually / legally commited to a purpose (debt convenants, etc)</t>
  </si>
  <si>
    <t>Net loss attributable to noncontrolling interests and redeemable noncontrolling interests is financing structure (tax equity)</t>
  </si>
  <si>
    <t>Price</t>
  </si>
  <si>
    <t>Shares</t>
  </si>
  <si>
    <t>Mkt Cap</t>
  </si>
  <si>
    <t>Cash</t>
  </si>
  <si>
    <t>Debt</t>
  </si>
  <si>
    <t>EV</t>
  </si>
  <si>
    <t>Q22015</t>
  </si>
  <si>
    <t>Q32015</t>
  </si>
  <si>
    <t>Q42015</t>
  </si>
  <si>
    <t>Q12016</t>
  </si>
  <si>
    <t>Q22016</t>
  </si>
  <si>
    <t>Q32016</t>
  </si>
  <si>
    <t>Q42016</t>
  </si>
  <si>
    <t>Q12017</t>
  </si>
  <si>
    <t>Q22017</t>
  </si>
  <si>
    <t>Q32017</t>
  </si>
  <si>
    <t>Q42017</t>
  </si>
  <si>
    <t>Q12018</t>
  </si>
  <si>
    <t>Q22018</t>
  </si>
  <si>
    <t>Q32018</t>
  </si>
  <si>
    <t>Q42018</t>
  </si>
  <si>
    <t>Q12019</t>
  </si>
  <si>
    <t>Q22019</t>
  </si>
  <si>
    <t>Q32019</t>
  </si>
  <si>
    <t>Q42019</t>
  </si>
  <si>
    <t>Q12020</t>
  </si>
  <si>
    <t>Q22020</t>
  </si>
  <si>
    <t>Q32020</t>
  </si>
  <si>
    <t>Q42020</t>
  </si>
  <si>
    <t>Q12021</t>
  </si>
  <si>
    <t>Q22021</t>
  </si>
  <si>
    <t>Q32021</t>
  </si>
  <si>
    <t>Q42021</t>
  </si>
  <si>
    <t>Q12022</t>
  </si>
  <si>
    <t>Q22022</t>
  </si>
  <si>
    <t>Q32022</t>
  </si>
  <si>
    <t>Q42022</t>
  </si>
  <si>
    <t>Q12023</t>
  </si>
  <si>
    <t>Q22023</t>
  </si>
  <si>
    <t>Q32023</t>
  </si>
  <si>
    <t>Q42023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</si>
</sst>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rgb="FF0563C1"/>
      <name val="Aptos Narrow"/>
    </font>
    <font>
      <u/>
      <sz val="11"/>
      <color rgb="FF4F81B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0" fontId="2" fillId="0" borderId="0" xfId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0</xdr:row>
      <xdr:rowOff>85725</xdr:rowOff>
    </xdr:from>
    <xdr:to>
      <xdr:col>47</xdr:col>
      <xdr:colOff>0</xdr:colOff>
      <xdr:row>35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01AD764-08F4-9DB7-F8E5-794547143548}"/>
            </a:ext>
          </a:extLst>
        </xdr:cNvPr>
        <xdr:cNvCxnSpPr/>
      </xdr:nvCxnSpPr>
      <xdr:spPr>
        <a:xfrm>
          <a:off x="4876800" y="85725"/>
          <a:ext cx="0" cy="58197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ec.gov/Archives/edgar/data/1469367/000156459016014431/run-ex991_59.htm" TargetMode="External"/><Relationship Id="rId18" Type="http://schemas.openxmlformats.org/officeDocument/2006/relationships/hyperlink" Target="https://www.sec.gov/Archives/edgar/data/1469367/000156459017010238/run-8k_20170510.htm" TargetMode="External"/><Relationship Id="rId26" Type="http://schemas.openxmlformats.org/officeDocument/2006/relationships/hyperlink" Target="https://www.sec.gov/Archives/edgar/data/1469367/000146936719000093/exhibit991q119.htm" TargetMode="External"/><Relationship Id="rId39" Type="http://schemas.openxmlformats.org/officeDocument/2006/relationships/hyperlink" Target="https://www.sec.gov/Archives/edgar/data/1469367/000146936722000117/exhibit991q222.htm" TargetMode="External"/><Relationship Id="rId21" Type="http://schemas.openxmlformats.org/officeDocument/2006/relationships/hyperlink" Target="https://www.sec.gov/Archives/edgar/data/1469367/000146936718000029/q4178-kexhibit991.htm" TargetMode="External"/><Relationship Id="rId34" Type="http://schemas.openxmlformats.org/officeDocument/2006/relationships/hyperlink" Target="https://www.sec.gov/Archives/edgar/data/1469367/000146936721000113/exhibit991q121ng.htm" TargetMode="External"/><Relationship Id="rId42" Type="http://schemas.openxmlformats.org/officeDocument/2006/relationships/hyperlink" Target="https://www.sec.gov/Archives/edgar/data/1469367/000146936723000117/exhibit991q123.htm" TargetMode="External"/><Relationship Id="rId7" Type="http://schemas.openxmlformats.org/officeDocument/2006/relationships/hyperlink" Target="https://www.sec.gov/Archives/edgar/data/1469367/000162828025050170/exhibit991q325.htm" TargetMode="External"/><Relationship Id="rId2" Type="http://schemas.openxmlformats.org/officeDocument/2006/relationships/hyperlink" Target="https://www.sec.gov/Archives/edgar/data/1469367/000146936724000144/exhibit991q224.htm" TargetMode="External"/><Relationship Id="rId16" Type="http://schemas.openxmlformats.org/officeDocument/2006/relationships/hyperlink" Target="https://www.sec.gov/Archives/edgar/data/1469367/000156459016028931/run-ex991_64.htm" TargetMode="External"/><Relationship Id="rId29" Type="http://schemas.openxmlformats.org/officeDocument/2006/relationships/hyperlink" Target="https://www.sec.gov/Archives/edgar/data/1469367/000146936720000060/q4198-kexhibit991.htm" TargetMode="External"/><Relationship Id="rId1" Type="http://schemas.openxmlformats.org/officeDocument/2006/relationships/hyperlink" Target="https://www.sec.gov/Archives/edgar/data/1469367/000146936724000091/exhibit991q124.htm" TargetMode="External"/><Relationship Id="rId6" Type="http://schemas.openxmlformats.org/officeDocument/2006/relationships/hyperlink" Target="https://www.sec.gov/Archives/edgar/data/1469367/000146936725000147/exhibit991q225.htm" TargetMode="External"/><Relationship Id="rId11" Type="http://schemas.openxmlformats.org/officeDocument/2006/relationships/hyperlink" Target="https://www.sec.gov/Archives/edgar/data/1469367/000156459015007862/run-ex991_14.htm" TargetMode="External"/><Relationship Id="rId24" Type="http://schemas.openxmlformats.org/officeDocument/2006/relationships/hyperlink" Target="https://www.sec.gov/Archives/edgar/data/1469367/000146936718000085/exhibit991q318.htm" TargetMode="External"/><Relationship Id="rId32" Type="http://schemas.openxmlformats.org/officeDocument/2006/relationships/hyperlink" Target="https://www.sec.gov/Archives/edgar/data/1469367/000146936720000229/exhibit991q320ng.htm" TargetMode="External"/><Relationship Id="rId37" Type="http://schemas.openxmlformats.org/officeDocument/2006/relationships/hyperlink" Target="https://www.sec.gov/Archives/edgar/data/1469367/000146936722000032/q4218-kexhibit991.htm" TargetMode="External"/><Relationship Id="rId40" Type="http://schemas.openxmlformats.org/officeDocument/2006/relationships/hyperlink" Target="https://www.sec.gov/Archives/edgar/data/1469367/000146936722000158/exhibit991q322.htm" TargetMode="External"/><Relationship Id="rId45" Type="http://schemas.openxmlformats.org/officeDocument/2006/relationships/hyperlink" Target="https://www.sec.gov/Archives/edgar/data/1469367/000146936724000022/q4238-kexhibit991.htm" TargetMode="External"/><Relationship Id="rId5" Type="http://schemas.openxmlformats.org/officeDocument/2006/relationships/hyperlink" Target="https://www.sec.gov/Archives/edgar/data/1469367/000146936725000103/exhibit991q125.htm" TargetMode="External"/><Relationship Id="rId15" Type="http://schemas.openxmlformats.org/officeDocument/2006/relationships/hyperlink" Target="https://www.sec.gov/Archives/edgar/data/1469367/000156459016024063/run-ex991_14.htm" TargetMode="External"/><Relationship Id="rId23" Type="http://schemas.openxmlformats.org/officeDocument/2006/relationships/hyperlink" Target="https://www.sec.gov/Archives/edgar/data/1469367/000146936718000070/exhibit991q218.htm" TargetMode="External"/><Relationship Id="rId28" Type="http://schemas.openxmlformats.org/officeDocument/2006/relationships/hyperlink" Target="https://www.sec.gov/Archives/edgar/data/1469367/000146936719000180/exhibit991q319.htm" TargetMode="External"/><Relationship Id="rId36" Type="http://schemas.openxmlformats.org/officeDocument/2006/relationships/hyperlink" Target="https://www.sec.gov/Archives/edgar/data/1469367/000146936721000236/exhibit991q321.htm" TargetMode="External"/><Relationship Id="rId10" Type="http://schemas.openxmlformats.org/officeDocument/2006/relationships/hyperlink" Target="https://www.sec.gov/Archives/edgar/data/1469367/000162828026053349/exhibit991q226.htm" TargetMode="External"/><Relationship Id="rId19" Type="http://schemas.openxmlformats.org/officeDocument/2006/relationships/hyperlink" Target="https://www.sec.gov/Archives/edgar/data/1469367/000162828017008209/exhibit991q217.htm" TargetMode="External"/><Relationship Id="rId31" Type="http://schemas.openxmlformats.org/officeDocument/2006/relationships/hyperlink" Target="https://www.sec.gov/Archives/edgar/data/1469367/000146936720000178/exhibit991q220ng.htm" TargetMode="External"/><Relationship Id="rId44" Type="http://schemas.openxmlformats.org/officeDocument/2006/relationships/hyperlink" Target="https://www.sec.gov/Archives/edgar/data/1469367/000146936723000201/exhibit991q323.htm" TargetMode="External"/><Relationship Id="rId4" Type="http://schemas.openxmlformats.org/officeDocument/2006/relationships/hyperlink" Target="https://www.sec.gov/Archives/edgar/data/1469367/000146936725000037/q4248-kexhibit991.htm" TargetMode="External"/><Relationship Id="rId9" Type="http://schemas.openxmlformats.org/officeDocument/2006/relationships/hyperlink" Target="https://www.sec.gov/Archives/edgar/data/1469367/000162828026031259/exhibit991q126.htm" TargetMode="External"/><Relationship Id="rId14" Type="http://schemas.openxmlformats.org/officeDocument/2006/relationships/hyperlink" Target="https://www.sec.gov/Archives/edgar/data/1469367/000156459016019242/run-ex991_6.htm" TargetMode="External"/><Relationship Id="rId22" Type="http://schemas.openxmlformats.org/officeDocument/2006/relationships/hyperlink" Target="https://www.sec.gov/Archives/edgar/data/1469367/000146936718000053/exhibit991q118.htm" TargetMode="External"/><Relationship Id="rId27" Type="http://schemas.openxmlformats.org/officeDocument/2006/relationships/hyperlink" Target="https://www.sec.gov/Archives/edgar/data/1469367/000146936719000125/exhibit991q219.htm" TargetMode="External"/><Relationship Id="rId30" Type="http://schemas.openxmlformats.org/officeDocument/2006/relationships/hyperlink" Target="https://www.sec.gov/Archives/edgar/data/1469367/000146936720000103/exhibit991q120ng.htm" TargetMode="External"/><Relationship Id="rId35" Type="http://schemas.openxmlformats.org/officeDocument/2006/relationships/hyperlink" Target="https://www.sec.gov/Archives/edgar/data/1469367/000146936721000186/exhibit991q221ng.htm" TargetMode="External"/><Relationship Id="rId43" Type="http://schemas.openxmlformats.org/officeDocument/2006/relationships/hyperlink" Target="https://www.sec.gov/Archives/edgar/data/1469367/000146936723000165/exhibit991q223.htm" TargetMode="External"/><Relationship Id="rId8" Type="http://schemas.openxmlformats.org/officeDocument/2006/relationships/hyperlink" Target="https://www.sec.gov/Archives/edgar/data/1469367/000162828026012266/q4258-kexhibit991.htm" TargetMode="External"/><Relationship Id="rId3" Type="http://schemas.openxmlformats.org/officeDocument/2006/relationships/hyperlink" Target="https://www.sec.gov/Archives/edgar/data/1469367/000146936724000198/exhibit991q324.htm" TargetMode="External"/><Relationship Id="rId12" Type="http://schemas.openxmlformats.org/officeDocument/2006/relationships/hyperlink" Target="https://www.sec.gov/Archives/edgar/data/1469367/000156459015010626/run-ex991_16.htm" TargetMode="External"/><Relationship Id="rId17" Type="http://schemas.openxmlformats.org/officeDocument/2006/relationships/hyperlink" Target="https://www.sec.gov/Archives/edgar/data/1469367/000156459017003695/run-ex991_14.htm" TargetMode="External"/><Relationship Id="rId25" Type="http://schemas.openxmlformats.org/officeDocument/2006/relationships/hyperlink" Target="https://www.sec.gov/Archives/edgar/data/1469367/000146936719000039/q4188-kexhibit991.htm" TargetMode="External"/><Relationship Id="rId33" Type="http://schemas.openxmlformats.org/officeDocument/2006/relationships/hyperlink" Target="https://www.sec.gov/Archives/edgar/data/1469367/000146936721000041/q4208-kexhibit991.htm" TargetMode="External"/><Relationship Id="rId38" Type="http://schemas.openxmlformats.org/officeDocument/2006/relationships/hyperlink" Target="https://www.sec.gov/Archives/edgar/data/1469367/000146936722000077/exhibit991q122.htm" TargetMode="External"/><Relationship Id="rId46" Type="http://schemas.openxmlformats.org/officeDocument/2006/relationships/drawing" Target="../drawings/drawing1.xml"/><Relationship Id="rId20" Type="http://schemas.openxmlformats.org/officeDocument/2006/relationships/hyperlink" Target="https://www.sec.gov/Archives/edgar/data/1469367/000146936717000020/exhibit991q317.htm" TargetMode="External"/><Relationship Id="rId41" Type="http://schemas.openxmlformats.org/officeDocument/2006/relationships/hyperlink" Target="https://www.sec.gov/Archives/edgar/data/1469367/000146936723000027/q4228-kexhibit99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S10"/>
  <sheetViews>
    <sheetView workbookViewId="0">
      <selection activeCell="B6" sqref="B6"/>
    </sheetView>
  </sheetViews>
  <sheetFormatPr defaultRowHeight="15" x14ac:dyDescent="0.25"/>
  <cols>
    <col min="19" max="19" width="15.42578125" bestFit="1" customWidth="1"/>
  </cols>
  <sheetData>
    <row r="4" spans="2:19" x14ac:dyDescent="0.25">
      <c r="B4" t="s">
        <v>36</v>
      </c>
    </row>
    <row r="5" spans="2:19" x14ac:dyDescent="0.25">
      <c r="B5" t="s">
        <v>37</v>
      </c>
      <c r="R5" t="s">
        <v>38</v>
      </c>
      <c r="S5" s="1">
        <v>9.26</v>
      </c>
    </row>
    <row r="6" spans="2:19" x14ac:dyDescent="0.25">
      <c r="R6" t="s">
        <v>39</v>
      </c>
      <c r="S6" s="2">
        <v>240846</v>
      </c>
    </row>
    <row r="7" spans="2:19" x14ac:dyDescent="0.25">
      <c r="R7" t="s">
        <v>40</v>
      </c>
      <c r="S7" s="2">
        <f>S6*S5</f>
        <v>2230233.96</v>
      </c>
    </row>
    <row r="8" spans="2:19" x14ac:dyDescent="0.25">
      <c r="R8" t="s">
        <v>41</v>
      </c>
      <c r="S8">
        <f>712+235</f>
        <v>947</v>
      </c>
    </row>
    <row r="9" spans="2:19" x14ac:dyDescent="0.25">
      <c r="R9" t="s">
        <v>42</v>
      </c>
      <c r="S9">
        <f>321+49+444+154+188</f>
        <v>1156</v>
      </c>
    </row>
    <row r="10" spans="2:19" x14ac:dyDescent="0.25">
      <c r="R10" t="s">
        <v>43</v>
      </c>
      <c r="S10" s="2">
        <f>S7-S8+S9</f>
        <v>2230442.96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6"/>
  <sheetViews>
    <sheetView tabSelected="1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BO2" sqref="BO2"/>
    </sheetView>
  </sheetViews>
  <sheetFormatPr defaultRowHeight="15" x14ac:dyDescent="0.25"/>
  <cols>
    <col min="2" max="2" width="38.42578125" bestFit="1" customWidth="1"/>
    <col min="3" max="37" width="38.42578125" customWidth="1"/>
    <col min="38" max="53" width="9.140625" style="3" customWidth="1"/>
  </cols>
  <sheetData>
    <row r="1" spans="1:78" x14ac:dyDescent="0.25">
      <c r="A1" s="5" t="s">
        <v>0</v>
      </c>
    </row>
    <row r="2" spans="1:78" x14ac:dyDescent="0.25"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9" t="s">
        <v>49</v>
      </c>
      <c r="I2" s="9" t="s">
        <v>50</v>
      </c>
      <c r="J2" s="9" t="s">
        <v>51</v>
      </c>
      <c r="K2" s="9" t="s">
        <v>52</v>
      </c>
      <c r="L2" s="9" t="s">
        <v>53</v>
      </c>
      <c r="M2" s="9" t="s">
        <v>54</v>
      </c>
      <c r="N2" s="9" t="s">
        <v>55</v>
      </c>
      <c r="O2" s="9" t="s">
        <v>56</v>
      </c>
      <c r="P2" s="9" t="s">
        <v>57</v>
      </c>
      <c r="Q2" s="9" t="s">
        <v>58</v>
      </c>
      <c r="R2" s="9" t="s">
        <v>59</v>
      </c>
      <c r="S2" s="9" t="s">
        <v>60</v>
      </c>
      <c r="T2" s="9" t="s">
        <v>61</v>
      </c>
      <c r="U2" s="9" t="s">
        <v>62</v>
      </c>
      <c r="V2" s="9" t="s">
        <v>63</v>
      </c>
      <c r="W2" s="9" t="s">
        <v>64</v>
      </c>
      <c r="X2" s="9" t="s">
        <v>65</v>
      </c>
      <c r="Y2" s="9" t="s">
        <v>66</v>
      </c>
      <c r="Z2" s="9" t="s">
        <v>67</v>
      </c>
      <c r="AA2" s="9" t="s">
        <v>68</v>
      </c>
      <c r="AB2" s="9" t="s">
        <v>69</v>
      </c>
      <c r="AC2" s="9" t="s">
        <v>70</v>
      </c>
      <c r="AD2" s="9" t="s">
        <v>71</v>
      </c>
      <c r="AE2" s="9" t="s">
        <v>72</v>
      </c>
      <c r="AF2" s="9" t="s">
        <v>73</v>
      </c>
      <c r="AG2" s="9" t="s">
        <v>74</v>
      </c>
      <c r="AH2" s="9" t="s">
        <v>75</v>
      </c>
      <c r="AI2" s="9" t="s">
        <v>76</v>
      </c>
      <c r="AJ2" s="9" t="s">
        <v>77</v>
      </c>
      <c r="AK2" s="9" t="s">
        <v>78</v>
      </c>
      <c r="AL2" s="8" t="s">
        <v>1</v>
      </c>
      <c r="AM2" s="8" t="s">
        <v>2</v>
      </c>
      <c r="AN2" s="8" t="s">
        <v>3</v>
      </c>
      <c r="AO2" s="8" t="s">
        <v>4</v>
      </c>
      <c r="AP2" s="8" t="s">
        <v>5</v>
      </c>
      <c r="AQ2" s="8" t="s">
        <v>6</v>
      </c>
      <c r="AR2" s="8" t="s">
        <v>7</v>
      </c>
      <c r="AS2" s="8" t="s">
        <v>8</v>
      </c>
      <c r="AT2" s="8" t="s">
        <v>9</v>
      </c>
      <c r="AU2" s="8" t="s">
        <v>10</v>
      </c>
      <c r="AV2" s="3" t="s">
        <v>11</v>
      </c>
      <c r="AW2" s="3" t="s">
        <v>12</v>
      </c>
      <c r="AX2" s="3" t="s">
        <v>13</v>
      </c>
      <c r="AY2" s="3" t="s">
        <v>14</v>
      </c>
      <c r="AZ2" s="3" t="s">
        <v>15</v>
      </c>
      <c r="BA2" s="3" t="s">
        <v>16</v>
      </c>
      <c r="BF2">
        <v>2015</v>
      </c>
      <c r="BG2">
        <v>2016</v>
      </c>
      <c r="BH2">
        <v>2017</v>
      </c>
      <c r="BI2">
        <v>2018</v>
      </c>
      <c r="BJ2">
        <v>2019</v>
      </c>
      <c r="BK2">
        <v>2020</v>
      </c>
      <c r="BL2">
        <v>2021</v>
      </c>
      <c r="BM2">
        <v>2022</v>
      </c>
      <c r="BN2">
        <v>2023</v>
      </c>
      <c r="BO2">
        <v>2024</v>
      </c>
      <c r="BP2">
        <v>2025</v>
      </c>
      <c r="BQ2">
        <v>2026</v>
      </c>
      <c r="BR2">
        <v>2027</v>
      </c>
      <c r="BS2">
        <v>2028</v>
      </c>
      <c r="BT2">
        <v>2029</v>
      </c>
      <c r="BU2">
        <v>2030</v>
      </c>
      <c r="BV2">
        <v>2031</v>
      </c>
      <c r="BW2">
        <v>2032</v>
      </c>
      <c r="BX2">
        <v>2033</v>
      </c>
      <c r="BY2">
        <v>2034</v>
      </c>
      <c r="BZ2">
        <v>2035</v>
      </c>
    </row>
    <row r="3" spans="1:78" x14ac:dyDescent="0.25">
      <c r="B3" t="s">
        <v>17</v>
      </c>
      <c r="AP3" s="3">
        <f>861-AQ3</f>
        <v>403</v>
      </c>
      <c r="AQ3" s="3">
        <v>458</v>
      </c>
      <c r="AS3" s="3">
        <v>544</v>
      </c>
      <c r="AT3" s="3">
        <f>1011-AU3</f>
        <v>467</v>
      </c>
      <c r="AU3" s="3">
        <v>544</v>
      </c>
    </row>
    <row r="4" spans="1:78" x14ac:dyDescent="0.25">
      <c r="B4" t="s">
        <v>18</v>
      </c>
      <c r="AP4" s="3">
        <f>212-AQ4</f>
        <v>101</v>
      </c>
      <c r="AQ4" s="3">
        <v>111</v>
      </c>
      <c r="AS4" s="3">
        <v>326</v>
      </c>
      <c r="AT4" s="3">
        <f>581-AU4</f>
        <v>255</v>
      </c>
      <c r="AU4" s="3">
        <v>326</v>
      </c>
    </row>
    <row r="5" spans="1:78" x14ac:dyDescent="0.25"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7"/>
      <c r="AO5" s="7"/>
      <c r="AP5" s="7">
        <f>SUM(AP3:AP4)</f>
        <v>504</v>
      </c>
      <c r="AQ5" s="7">
        <f>SUM(AQ3:AQ4)</f>
        <v>569</v>
      </c>
      <c r="AR5" s="7"/>
      <c r="AS5" s="7">
        <f>SUM(AS3:AS4)</f>
        <v>870</v>
      </c>
      <c r="AT5" s="7">
        <f>SUM(AT3:AT4)</f>
        <v>722</v>
      </c>
      <c r="AU5" s="7">
        <f>SUM(AU3:AU4)</f>
        <v>870</v>
      </c>
      <c r="AV5" s="7"/>
      <c r="AW5" s="7"/>
      <c r="AX5" s="7"/>
      <c r="AY5" s="7"/>
      <c r="AZ5" s="7"/>
      <c r="BA5" s="7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</row>
    <row r="6" spans="1:78" x14ac:dyDescent="0.25">
      <c r="B6" t="s">
        <v>20</v>
      </c>
      <c r="AP6" s="3">
        <f>654-AQ6</f>
        <v>309</v>
      </c>
      <c r="AQ6" s="3">
        <v>345</v>
      </c>
      <c r="AS6" s="3">
        <v>342</v>
      </c>
      <c r="AT6" s="3">
        <f>657-AU6</f>
        <v>315</v>
      </c>
      <c r="AU6" s="3">
        <v>342</v>
      </c>
    </row>
    <row r="7" spans="1:78" x14ac:dyDescent="0.25">
      <c r="B7" t="s">
        <v>21</v>
      </c>
      <c r="AP7" s="3">
        <f>201-AQ7</f>
        <v>97</v>
      </c>
      <c r="AQ7" s="3">
        <v>104</v>
      </c>
      <c r="AS7" s="3">
        <v>199</v>
      </c>
      <c r="AT7" s="3">
        <f>387-AU7</f>
        <v>188</v>
      </c>
      <c r="AU7" s="3">
        <v>199</v>
      </c>
    </row>
    <row r="8" spans="1:78" x14ac:dyDescent="0.25">
      <c r="B8" t="s">
        <v>22</v>
      </c>
      <c r="AP8" s="3">
        <f>298-AQ8</f>
        <v>146</v>
      </c>
      <c r="AQ8" s="3">
        <v>152</v>
      </c>
      <c r="AS8" s="3">
        <v>191</v>
      </c>
      <c r="AT8" s="3">
        <f>369-AU8</f>
        <v>178</v>
      </c>
      <c r="AU8" s="3">
        <v>191</v>
      </c>
    </row>
    <row r="9" spans="1:78" x14ac:dyDescent="0.25">
      <c r="B9" t="s">
        <v>23</v>
      </c>
      <c r="AP9" s="3">
        <f>18-AQ9</f>
        <v>10</v>
      </c>
      <c r="AQ9" s="3">
        <v>8</v>
      </c>
      <c r="AS9" s="3">
        <v>10</v>
      </c>
      <c r="AT9" s="3">
        <f>20-AU9</f>
        <v>10</v>
      </c>
      <c r="AU9" s="3">
        <v>10</v>
      </c>
    </row>
    <row r="10" spans="1:78" x14ac:dyDescent="0.25">
      <c r="B10" t="s">
        <v>24</v>
      </c>
      <c r="AP10" s="3">
        <f>129-AQ10</f>
        <v>57</v>
      </c>
      <c r="AQ10" s="3">
        <v>72</v>
      </c>
      <c r="AS10" s="3">
        <v>93</v>
      </c>
      <c r="AT10" s="3">
        <f>167-AU10</f>
        <v>74</v>
      </c>
      <c r="AU10" s="3">
        <v>93</v>
      </c>
    </row>
    <row r="11" spans="1:78" x14ac:dyDescent="0.25">
      <c r="B11" t="s">
        <v>25</v>
      </c>
      <c r="AP11" s="3">
        <f t="shared" ref="AP11:AU11" si="0">SUM(AP6:AP10)</f>
        <v>619</v>
      </c>
      <c r="AQ11" s="3">
        <f t="shared" si="0"/>
        <v>681</v>
      </c>
      <c r="AR11" s="3">
        <f t="shared" si="0"/>
        <v>0</v>
      </c>
      <c r="AS11" s="3">
        <f t="shared" si="0"/>
        <v>835</v>
      </c>
      <c r="AT11" s="3">
        <f t="shared" si="0"/>
        <v>765</v>
      </c>
      <c r="AU11" s="3">
        <f t="shared" si="0"/>
        <v>835</v>
      </c>
    </row>
    <row r="12" spans="1:78" x14ac:dyDescent="0.25">
      <c r="B12" s="6" t="s">
        <v>26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7"/>
      <c r="AO12" s="7"/>
      <c r="AP12" s="7">
        <f t="shared" ref="AP12:AU12" si="1">AP5-AP11</f>
        <v>-115</v>
      </c>
      <c r="AQ12" s="7">
        <f t="shared" si="1"/>
        <v>-112</v>
      </c>
      <c r="AR12" s="7">
        <f t="shared" si="1"/>
        <v>0</v>
      </c>
      <c r="AS12" s="7">
        <f t="shared" si="1"/>
        <v>35</v>
      </c>
      <c r="AT12" s="7">
        <f t="shared" si="1"/>
        <v>-43</v>
      </c>
      <c r="AU12" s="7">
        <f t="shared" si="1"/>
        <v>35</v>
      </c>
    </row>
    <row r="13" spans="1:78" x14ac:dyDescent="0.25">
      <c r="B13" t="s">
        <v>27</v>
      </c>
      <c r="AP13" s="3">
        <f>-475-AQ13</f>
        <v>-228</v>
      </c>
      <c r="AQ13" s="3">
        <v>-247</v>
      </c>
      <c r="AS13" s="3">
        <v>-264</v>
      </c>
      <c r="AT13" s="3">
        <f>-528-AU13</f>
        <v>-264</v>
      </c>
      <c r="AU13" s="3">
        <v>-264</v>
      </c>
    </row>
    <row r="14" spans="1:78" x14ac:dyDescent="0.25">
      <c r="B14" t="s">
        <v>28</v>
      </c>
      <c r="AP14" s="3">
        <f>-60-AQ14</f>
        <v>-45</v>
      </c>
      <c r="AQ14" s="3">
        <v>-15</v>
      </c>
      <c r="AS14" s="3">
        <v>17</v>
      </c>
      <c r="AT14" s="3">
        <f>35-AU14</f>
        <v>18</v>
      </c>
      <c r="AU14" s="3">
        <v>17</v>
      </c>
    </row>
    <row r="15" spans="1:78" x14ac:dyDescent="0.25">
      <c r="B15" s="6" t="s">
        <v>29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7"/>
      <c r="AO15" s="7"/>
      <c r="AP15" s="7">
        <f t="shared" ref="AP15:AU15" si="2">+AP12+AP13+AP14</f>
        <v>-388</v>
      </c>
      <c r="AQ15" s="7">
        <f t="shared" si="2"/>
        <v>-374</v>
      </c>
      <c r="AR15" s="7">
        <f t="shared" si="2"/>
        <v>0</v>
      </c>
      <c r="AS15" s="7">
        <f t="shared" si="2"/>
        <v>-212</v>
      </c>
      <c r="AT15" s="7">
        <f t="shared" si="2"/>
        <v>-289</v>
      </c>
      <c r="AU15" s="7">
        <f t="shared" si="2"/>
        <v>-212</v>
      </c>
      <c r="AV15" s="7"/>
      <c r="AW15" s="7"/>
      <c r="AX15" s="7"/>
      <c r="AY15" s="7"/>
      <c r="AZ15" s="7"/>
      <c r="BA15" s="7"/>
    </row>
    <row r="16" spans="1:78" x14ac:dyDescent="0.25">
      <c r="B16" t="s">
        <v>30</v>
      </c>
      <c r="AP16" s="3">
        <f>-205-AQ16</f>
        <v>-110</v>
      </c>
      <c r="AQ16" s="3">
        <v>-95</v>
      </c>
      <c r="AS16" s="3">
        <v>-4</v>
      </c>
      <c r="AT16" s="3">
        <f>-3-AU16</f>
        <v>1</v>
      </c>
      <c r="AU16" s="3">
        <v>-4</v>
      </c>
    </row>
    <row r="17" spans="2:47" x14ac:dyDescent="0.25">
      <c r="B17" t="s">
        <v>31</v>
      </c>
      <c r="AP17" s="3">
        <f t="shared" ref="AP17:AU17" si="3">+AP15-AP16</f>
        <v>-278</v>
      </c>
      <c r="AQ17" s="3">
        <f t="shared" si="3"/>
        <v>-279</v>
      </c>
      <c r="AR17" s="3">
        <f t="shared" si="3"/>
        <v>0</v>
      </c>
      <c r="AS17" s="3">
        <f t="shared" si="3"/>
        <v>-208</v>
      </c>
      <c r="AT17" s="3">
        <f t="shared" si="3"/>
        <v>-290</v>
      </c>
      <c r="AU17" s="3">
        <f t="shared" si="3"/>
        <v>-208</v>
      </c>
    </row>
    <row r="22" spans="2:47" x14ac:dyDescent="0.25">
      <c r="B22" t="s">
        <v>32</v>
      </c>
      <c r="AT22" s="4">
        <f>AT5/AP5-1</f>
        <v>0.43253968253968256</v>
      </c>
      <c r="AU22" s="4">
        <f>AU5/AQ5-1</f>
        <v>0.52899824253075578</v>
      </c>
    </row>
    <row r="23" spans="2:47" x14ac:dyDescent="0.25">
      <c r="B23" t="s">
        <v>33</v>
      </c>
      <c r="AL23" s="4" t="e">
        <f t="shared" ref="AL23:AU23" si="4">AL12/AL5</f>
        <v>#DIV/0!</v>
      </c>
      <c r="AM23" s="4" t="e">
        <f t="shared" si="4"/>
        <v>#DIV/0!</v>
      </c>
      <c r="AN23" s="4" t="e">
        <f t="shared" si="4"/>
        <v>#DIV/0!</v>
      </c>
      <c r="AO23" s="4" t="e">
        <f t="shared" si="4"/>
        <v>#DIV/0!</v>
      </c>
      <c r="AP23" s="4">
        <f t="shared" si="4"/>
        <v>-0.22817460317460317</v>
      </c>
      <c r="AQ23" s="4">
        <f t="shared" si="4"/>
        <v>-0.19683655536028119</v>
      </c>
      <c r="AR23" s="4" t="e">
        <f t="shared" si="4"/>
        <v>#DIV/0!</v>
      </c>
      <c r="AS23" s="4">
        <f t="shared" si="4"/>
        <v>4.0229885057471264E-2</v>
      </c>
      <c r="AT23" s="4">
        <f t="shared" si="4"/>
        <v>-5.9556786703601108E-2</v>
      </c>
      <c r="AU23" s="4">
        <f t="shared" si="4"/>
        <v>4.0229885057471264E-2</v>
      </c>
    </row>
    <row r="24" spans="2:47" x14ac:dyDescent="0.25">
      <c r="B24" t="s">
        <v>34</v>
      </c>
      <c r="AT24" s="3">
        <f>+(227*2)-AU24</f>
        <v>225</v>
      </c>
      <c r="AU24" s="3">
        <v>229</v>
      </c>
    </row>
    <row r="26" spans="2:47" x14ac:dyDescent="0.25">
      <c r="B26" t="s">
        <v>35</v>
      </c>
      <c r="AL26" s="4" t="e">
        <f t="shared" ref="AL26:AU26" si="5">AL16/AL15</f>
        <v>#DIV/0!</v>
      </c>
      <c r="AM26" s="4" t="e">
        <f t="shared" si="5"/>
        <v>#DIV/0!</v>
      </c>
      <c r="AN26" s="4" t="e">
        <f t="shared" si="5"/>
        <v>#DIV/0!</v>
      </c>
      <c r="AO26" s="4" t="e">
        <f t="shared" si="5"/>
        <v>#DIV/0!</v>
      </c>
      <c r="AP26" s="4">
        <f t="shared" si="5"/>
        <v>0.28350515463917525</v>
      </c>
      <c r="AQ26" s="4">
        <f t="shared" si="5"/>
        <v>0.25401069518716579</v>
      </c>
      <c r="AR26" s="4" t="e">
        <f t="shared" si="5"/>
        <v>#DIV/0!</v>
      </c>
      <c r="AS26" s="4">
        <f t="shared" si="5"/>
        <v>1.8867924528301886E-2</v>
      </c>
      <c r="AT26" s="4">
        <f t="shared" si="5"/>
        <v>-3.4602076124567475E-3</v>
      </c>
      <c r="AU26" s="4">
        <f t="shared" si="5"/>
        <v>1.8867924528301886E-2</v>
      </c>
    </row>
  </sheetData>
  <hyperlinks>
    <hyperlink ref="A1" location="Main!A1" display="Main" xr:uid="{00000000-0004-0000-0100-000000000000}"/>
    <hyperlink ref="AL2" r:id="rId1" xr:uid="{00000000-0004-0000-0100-000001000000}"/>
    <hyperlink ref="AM2" r:id="rId2" xr:uid="{00000000-0004-0000-0100-000002000000}"/>
    <hyperlink ref="AN2" r:id="rId3" xr:uid="{00000000-0004-0000-0100-000003000000}"/>
    <hyperlink ref="AO2" r:id="rId4" xr:uid="{00000000-0004-0000-0100-000004000000}"/>
    <hyperlink ref="AP2" r:id="rId5" xr:uid="{00000000-0004-0000-0100-000005000000}"/>
    <hyperlink ref="AQ2" r:id="rId6" xr:uid="{00000000-0004-0000-0100-000006000000}"/>
    <hyperlink ref="AR2" r:id="rId7" xr:uid="{00000000-0004-0000-0100-000007000000}"/>
    <hyperlink ref="AS2" r:id="rId8" xr:uid="{00000000-0004-0000-0100-000008000000}"/>
    <hyperlink ref="AT2" r:id="rId9" xr:uid="{00000000-0004-0000-0100-000009000000}"/>
    <hyperlink ref="AU2" r:id="rId10" xr:uid="{00000000-0004-0000-0100-00000A000000}"/>
    <hyperlink ref="C2" r:id="rId11" display="https://www.sec.gov/Archives/edgar/data/1469367/000156459015007862/run-ex991_14.htm" xr:uid="{0F944F97-4CE2-4EDB-860D-F1D96464F739}"/>
    <hyperlink ref="D2" r:id="rId12" display="https://www.sec.gov/Archives/edgar/data/1469367/000156459015010626/run-ex991_16.htm" xr:uid="{23AD8E78-ACF8-4347-97C2-271854211720}"/>
    <hyperlink ref="E2" r:id="rId13" display="https://www.sec.gov/Archives/edgar/data/1469367/000156459016014431/run-ex991_59.htm" xr:uid="{2D87625A-ED21-4B24-A0F6-6DF621C82166}"/>
    <hyperlink ref="F2" r:id="rId14" display="https://www.sec.gov/Archives/edgar/data/1469367/000156459016019242/run-ex991_6.htm" xr:uid="{F88A27F7-3AC7-42C0-99F5-768793CCF313}"/>
    <hyperlink ref="G2" r:id="rId15" display="https://www.sec.gov/Archives/edgar/data/1469367/000156459016024063/run-ex991_14.htm" xr:uid="{B57E0C83-8891-4195-ACEB-17F0BB3A8C84}"/>
    <hyperlink ref="H2" r:id="rId16" display="https://www.sec.gov/Archives/edgar/data/1469367/000156459016028931/run-ex991_64.htm" xr:uid="{03575C46-FD71-4EC7-899F-7A3E56D0AF4A}"/>
    <hyperlink ref="I2" r:id="rId17" display="https://www.sec.gov/Archives/edgar/data/1469367/000156459017003695/run-ex991_14.htm" xr:uid="{2BF5759B-389B-482F-94F2-81D9663475A6}"/>
    <hyperlink ref="J2" r:id="rId18" display="https://www.sec.gov/Archives/edgar/data/1469367/000156459017010238/run-8k_20170510.htm" xr:uid="{987FAB0F-3B2E-4F42-811A-2C68DBB53A54}"/>
    <hyperlink ref="K2" r:id="rId19" display="https://www.sec.gov/Archives/edgar/data/1469367/000162828017008209/exhibit991q217.htm" xr:uid="{519341CD-17BE-48EF-A789-79CDDB7E4E87}"/>
    <hyperlink ref="L2" r:id="rId20" display="https://www.sec.gov/Archives/edgar/data/1469367/000146936717000020/exhibit991q317.htm" xr:uid="{49686783-17FA-4F32-ADD1-B9E97394E84B}"/>
    <hyperlink ref="M2" r:id="rId21" display="https://www.sec.gov/Archives/edgar/data/1469367/000146936718000029/q4178-kexhibit991.htm" xr:uid="{89EDFE5A-7B15-4D9E-B84A-4F20022C3424}"/>
    <hyperlink ref="N2" r:id="rId22" display="https://www.sec.gov/Archives/edgar/data/1469367/000146936718000053/exhibit991q118.htm" xr:uid="{BA6D3168-071C-4EE6-A160-EB0C2174A376}"/>
    <hyperlink ref="O2" r:id="rId23" display="https://www.sec.gov/Archives/edgar/data/1469367/000146936718000070/exhibit991q218.htm" xr:uid="{3BBC6F89-695B-4021-ABAE-378D068DDC81}"/>
    <hyperlink ref="P2" r:id="rId24" display="https://www.sec.gov/Archives/edgar/data/1469367/000146936718000085/exhibit991q318.htm" xr:uid="{54E28E37-F3B9-4FFE-955C-6E49C5E6BC7A}"/>
    <hyperlink ref="Q2" r:id="rId25" display="https://www.sec.gov/Archives/edgar/data/1469367/000146936719000039/q4188-kexhibit991.htm" xr:uid="{4E42BC52-B455-4324-8AB0-2CB254DA0569}"/>
    <hyperlink ref="R2" r:id="rId26" display="https://www.sec.gov/Archives/edgar/data/1469367/000146936719000093/exhibit991q119.htm" xr:uid="{74B47410-95B8-4D95-A166-AB296B83749A}"/>
    <hyperlink ref="S2" r:id="rId27" display="https://www.sec.gov/Archives/edgar/data/1469367/000146936719000125/exhibit991q219.htm" xr:uid="{AF11E8AB-C738-41C7-902A-123E48E3762D}"/>
    <hyperlink ref="T2" r:id="rId28" display="https://www.sec.gov/Archives/edgar/data/1469367/000146936719000180/exhibit991q319.htm" xr:uid="{F59D0512-A607-4F02-8365-C3866B63EDE0}"/>
    <hyperlink ref="U2" r:id="rId29" display="https://www.sec.gov/Archives/edgar/data/1469367/000146936720000060/q4198-kexhibit991.htm" xr:uid="{A7236750-BE4C-4FB1-ACB5-DEC2ACB63FA9}"/>
    <hyperlink ref="V2" r:id="rId30" display="https://www.sec.gov/Archives/edgar/data/1469367/000146936720000103/exhibit991q120ng.htm" xr:uid="{199A66E2-7AEF-4FEA-B5E9-CEFD6FCC4218}"/>
    <hyperlink ref="W2" r:id="rId31" display="https://www.sec.gov/Archives/edgar/data/1469367/000146936720000178/exhibit991q220ng.htm" xr:uid="{25304ADC-E284-4336-9D47-73A5671ED23E}"/>
    <hyperlink ref="X2" r:id="rId32" display="https://www.sec.gov/Archives/edgar/data/1469367/000146936720000229/exhibit991q320ng.htm" xr:uid="{56A7D335-1483-4D7F-BDF7-046DE40B9909}"/>
    <hyperlink ref="Y2" r:id="rId33" display="https://www.sec.gov/Archives/edgar/data/1469367/000146936721000041/q4208-kexhibit991.htm" xr:uid="{C04C0DB1-0E7A-4038-AEA8-7E84BF206D46}"/>
    <hyperlink ref="Z2" r:id="rId34" display="https://www.sec.gov/Archives/edgar/data/1469367/000146936721000113/exhibit991q121ng.htm" xr:uid="{2415AE36-3723-490E-934E-F2304C46CCF0}"/>
    <hyperlink ref="AA2" r:id="rId35" display="https://www.sec.gov/Archives/edgar/data/1469367/000146936721000186/exhibit991q221ng.htm" xr:uid="{C9E08878-FA45-4C1D-9269-422B87325A55}"/>
    <hyperlink ref="AB2" r:id="rId36" display="https://www.sec.gov/Archives/edgar/data/1469367/000146936721000236/exhibit991q321.htm" xr:uid="{E9CDB4B0-0362-4327-9D8E-765F7D8DDEE8}"/>
    <hyperlink ref="AC2" r:id="rId37" display="https://www.sec.gov/Archives/edgar/data/1469367/000146936722000032/q4218-kexhibit991.htm" xr:uid="{97A31385-24D1-4CFD-A327-EB3EF5D55ED3}"/>
    <hyperlink ref="AD2" r:id="rId38" display="https://www.sec.gov/Archives/edgar/data/1469367/000146936722000077/exhibit991q122.htm" xr:uid="{681D947D-7F12-411D-8071-5EB805D6D899}"/>
    <hyperlink ref="AE2" r:id="rId39" display="https://www.sec.gov/Archives/edgar/data/1469367/000146936722000117/exhibit991q222.htm" xr:uid="{4AC101F2-57F6-450C-840C-2834FBFA855D}"/>
    <hyperlink ref="AF2" r:id="rId40" display="https://www.sec.gov/Archives/edgar/data/1469367/000146936722000158/exhibit991q322.htm" xr:uid="{E5CB8D33-85CA-4517-8D9F-F5250D99A7D7}"/>
    <hyperlink ref="AG2" r:id="rId41" display="https://www.sec.gov/Archives/edgar/data/1469367/000146936723000027/q4228-kexhibit991.htm" xr:uid="{5994A31E-6044-4DFB-B88C-471562C88C03}"/>
    <hyperlink ref="AH2" r:id="rId42" display="https://www.sec.gov/Archives/edgar/data/1469367/000146936723000117/exhibit991q123.htm" xr:uid="{84956827-89AE-4BE7-AA88-BAFDFA833036}"/>
    <hyperlink ref="AI2" r:id="rId43" display="https://www.sec.gov/Archives/edgar/data/1469367/000146936723000165/exhibit991q223.htm" xr:uid="{00B793E0-9D54-431F-844E-9C6899F91056}"/>
    <hyperlink ref="AJ2" r:id="rId44" display="https://www.sec.gov/Archives/edgar/data/1469367/000146936723000201/exhibit991q323.htm" xr:uid="{85AB9562-7D91-4C37-AE5B-279BFB1777AD}"/>
    <hyperlink ref="AK2" r:id="rId45" display="https://www.sec.gov/Archives/edgar/data/1469367/000146936724000022/q4238-kexhibit991.htm" xr:uid="{4DD1A245-037F-4110-8ADC-794945CFFE0F}"/>
  </hyperlinks>
  <pageMargins left="0.7" right="0.7" top="0.75" bottom="0.75" header="0.3" footer="0.3"/>
  <drawing r:id="rId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2026-08-19T13:38:23Z</dcterms:created>
  <dcterms:modified xsi:type="dcterms:W3CDTF">2026-09-16T17:29:29Z</dcterms:modified>
</cp:coreProperties>
</file>