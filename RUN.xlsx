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models\"/>
    </mc:Choice>
  </mc:AlternateContent>
  <xr:revisionPtr revIDLastSave="0" documentId="13_ncr:1_{77EC761E-6B2D-47E1-A72C-BDA8A683EAA1}" xr6:coauthVersionLast="47" xr6:coauthVersionMax="47" xr10:uidLastSave="{00000000-0000-0000-0000-000000000000}"/>
  <bookViews>
    <workbookView xWindow="13080" yWindow="0" windowWidth="25425" windowHeight="20985" activeTab="1" xr2:uid="{E06A6E02-F966-45F3-9FD6-4E3BC889F16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2" l="1"/>
  <c r="J15" i="2" s="1"/>
  <c r="J11" i="2"/>
  <c r="J5" i="2"/>
  <c r="K26" i="2"/>
  <c r="I26" i="2"/>
  <c r="H26" i="2"/>
  <c r="G26" i="2"/>
  <c r="F26" i="2"/>
  <c r="E26" i="2"/>
  <c r="D26" i="2"/>
  <c r="C26" i="2"/>
  <c r="L26" i="2"/>
  <c r="K24" i="2"/>
  <c r="H17" i="2"/>
  <c r="I17" i="2"/>
  <c r="K17" i="2"/>
  <c r="L17" i="2"/>
  <c r="L15" i="2"/>
  <c r="K15" i="2"/>
  <c r="I15" i="2"/>
  <c r="H15" i="2"/>
  <c r="G17" i="2"/>
  <c r="G15" i="2"/>
  <c r="G16" i="2"/>
  <c r="K16" i="2"/>
  <c r="G14" i="2"/>
  <c r="K14" i="2"/>
  <c r="G13" i="2"/>
  <c r="K13" i="2"/>
  <c r="I23" i="2"/>
  <c r="F23" i="2"/>
  <c r="E23" i="2"/>
  <c r="D23" i="2"/>
  <c r="C23" i="2"/>
  <c r="G10" i="2"/>
  <c r="G9" i="2"/>
  <c r="G8" i="2"/>
  <c r="G7" i="2"/>
  <c r="G6" i="2"/>
  <c r="I11" i="2"/>
  <c r="I12" i="2" s="1"/>
  <c r="H11" i="2"/>
  <c r="K10" i="2"/>
  <c r="K9" i="2"/>
  <c r="K8" i="2"/>
  <c r="K7" i="2"/>
  <c r="K6" i="2"/>
  <c r="L11" i="2"/>
  <c r="G4" i="2"/>
  <c r="K4" i="2"/>
  <c r="G3" i="2"/>
  <c r="K3" i="2"/>
  <c r="L5" i="2"/>
  <c r="H5" i="2"/>
  <c r="L22" i="2" s="1"/>
  <c r="S10" i="1"/>
  <c r="S9" i="1"/>
  <c r="S8" i="1"/>
  <c r="S7" i="1"/>
  <c r="J17" i="2" l="1"/>
  <c r="J26" i="2"/>
  <c r="J23" i="2"/>
  <c r="K11" i="2"/>
  <c r="K5" i="2"/>
  <c r="K12" i="2" s="1"/>
  <c r="K23" i="2" s="1"/>
  <c r="H12" i="2"/>
  <c r="H23" i="2" s="1"/>
  <c r="G5" i="2"/>
  <c r="L12" i="2"/>
  <c r="L23" i="2" s="1"/>
  <c r="G11" i="2"/>
  <c r="G12" i="2" l="1"/>
  <c r="G23" i="2" s="1"/>
  <c r="K22" i="2"/>
</calcChain>
</file>

<file path=xl/sharedStrings.xml><?xml version="1.0" encoding="utf-8"?>
<sst xmlns="http://schemas.openxmlformats.org/spreadsheetml/2006/main" count="44" uniqueCount="44">
  <si>
    <t>Cash</t>
  </si>
  <si>
    <t>Price</t>
  </si>
  <si>
    <t>Shares</t>
  </si>
  <si>
    <t>Debt</t>
  </si>
  <si>
    <t>EV</t>
  </si>
  <si>
    <t>Mkt Cap</t>
  </si>
  <si>
    <t>Restricted cash - contractually / legally commited to a purpose (debt convenants, etc)</t>
  </si>
  <si>
    <t>Revenue</t>
  </si>
  <si>
    <t>Q12026</t>
  </si>
  <si>
    <t>Q22026</t>
  </si>
  <si>
    <t>Q32026</t>
  </si>
  <si>
    <t>Q42026</t>
  </si>
  <si>
    <t>Q12025</t>
  </si>
  <si>
    <t>Q22025</t>
  </si>
  <si>
    <t>Q32025</t>
  </si>
  <si>
    <t>Q42025</t>
  </si>
  <si>
    <t>Q12027</t>
  </si>
  <si>
    <t>Q22027</t>
  </si>
  <si>
    <t>Q32027</t>
  </si>
  <si>
    <t>Q42027</t>
  </si>
  <si>
    <t>Customer agreements and incentives</t>
  </si>
  <si>
    <t>Energy systems and product sales</t>
  </si>
  <si>
    <t>Revenue y/y</t>
  </si>
  <si>
    <t>Main</t>
  </si>
  <si>
    <t>Customer agreements and incentives cost</t>
  </si>
  <si>
    <t>Energy systems and product sales cost</t>
  </si>
  <si>
    <t>S&amp;M</t>
  </si>
  <si>
    <t>G&amp;A</t>
  </si>
  <si>
    <t>Operating Expenses</t>
  </si>
  <si>
    <t>R&amp;D</t>
  </si>
  <si>
    <t>Q12024</t>
  </si>
  <si>
    <t>Q22024</t>
  </si>
  <si>
    <t>Q32024</t>
  </si>
  <si>
    <t>Q42024</t>
  </si>
  <si>
    <t>Interest</t>
  </si>
  <si>
    <t>Other income</t>
  </si>
  <si>
    <t>Tax</t>
  </si>
  <si>
    <t>Operating margin</t>
  </si>
  <si>
    <t>Operating Income</t>
  </si>
  <si>
    <t>Earnings</t>
  </si>
  <si>
    <t>EBT</t>
  </si>
  <si>
    <t>Net loss attributable to noncontrolling interests and redeemable noncontrolling interests is financing structure (tax equity)</t>
  </si>
  <si>
    <t>Shares outstanding</t>
  </si>
  <si>
    <t>Tax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</si>
</sst>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#,##0.00;[Red]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166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9" fontId="0" fillId="0" borderId="0" xfId="0" applyNumberFormat="1" applyAlignment="1">
      <alignment horizontal="right"/>
    </xf>
    <xf numFmtId="0" fontId="2" fillId="0" borderId="0" xfId="1"/>
    <xf numFmtId="0" fontId="1" fillId="0" borderId="0" xfId="0" applyFont="1"/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0</xdr:row>
      <xdr:rowOff>85725</xdr:rowOff>
    </xdr:from>
    <xdr:to>
      <xdr:col>12</xdr:col>
      <xdr:colOff>0</xdr:colOff>
      <xdr:row>35</xdr:row>
      <xdr:rowOff>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01AD764-08F4-9DB7-F8E5-794547143548}"/>
            </a:ext>
          </a:extLst>
        </xdr:cNvPr>
        <xdr:cNvCxnSpPr/>
      </xdr:nvCxnSpPr>
      <xdr:spPr>
        <a:xfrm>
          <a:off x="4876800" y="85725"/>
          <a:ext cx="0" cy="58197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102B1-3DA0-4149-9E80-4C86183E0177}">
  <dimension ref="B4:S10"/>
  <sheetViews>
    <sheetView workbookViewId="0">
      <selection activeCell="B6" sqref="B6"/>
    </sheetView>
  </sheetViews>
  <sheetFormatPr defaultRowHeight="15" x14ac:dyDescent="0.25"/>
  <cols>
    <col min="19" max="19" width="15.42578125" bestFit="1" customWidth="1"/>
  </cols>
  <sheetData>
    <row r="4" spans="2:19" x14ac:dyDescent="0.25">
      <c r="B4" t="s">
        <v>6</v>
      </c>
    </row>
    <row r="5" spans="2:19" x14ac:dyDescent="0.25">
      <c r="B5" t="s">
        <v>41</v>
      </c>
      <c r="R5" t="s">
        <v>1</v>
      </c>
      <c r="S5" s="1">
        <v>9.26</v>
      </c>
    </row>
    <row r="6" spans="2:19" x14ac:dyDescent="0.25">
      <c r="R6" t="s">
        <v>2</v>
      </c>
      <c r="S6" s="2">
        <v>240846</v>
      </c>
    </row>
    <row r="7" spans="2:19" x14ac:dyDescent="0.25">
      <c r="R7" t="s">
        <v>5</v>
      </c>
      <c r="S7" s="2">
        <f>S6*S5</f>
        <v>2230233.96</v>
      </c>
    </row>
    <row r="8" spans="2:19" x14ac:dyDescent="0.25">
      <c r="R8" t="s">
        <v>0</v>
      </c>
      <c r="S8">
        <f>712+235</f>
        <v>947</v>
      </c>
    </row>
    <row r="9" spans="2:19" x14ac:dyDescent="0.25">
      <c r="R9" t="s">
        <v>3</v>
      </c>
      <c r="S9">
        <f>321+49+444+154+188</f>
        <v>1156</v>
      </c>
    </row>
    <row r="10" spans="2:19" x14ac:dyDescent="0.25">
      <c r="R10" t="s">
        <v>4</v>
      </c>
      <c r="S10" s="2">
        <f>S7-S8+S9</f>
        <v>2230442.96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3CA0F-3FBF-4EAA-ADEE-FACC9C18E806}">
  <dimension ref="A1:AG26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20" sqref="H20"/>
    </sheetView>
  </sheetViews>
  <sheetFormatPr defaultRowHeight="15" x14ac:dyDescent="0.25"/>
  <cols>
    <col min="2" max="2" width="38.42578125" bestFit="1" customWidth="1"/>
    <col min="3" max="18" width="9.140625" style="3"/>
  </cols>
  <sheetData>
    <row r="1" spans="1:33" x14ac:dyDescent="0.25">
      <c r="A1" s="5" t="s">
        <v>23</v>
      </c>
    </row>
    <row r="2" spans="1:33" x14ac:dyDescent="0.25">
      <c r="C2" s="3" t="s">
        <v>30</v>
      </c>
      <c r="D2" s="3" t="s">
        <v>31</v>
      </c>
      <c r="E2" s="3" t="s">
        <v>32</v>
      </c>
      <c r="F2" s="3" t="s">
        <v>33</v>
      </c>
      <c r="G2" s="3" t="s">
        <v>12</v>
      </c>
      <c r="H2" s="3" t="s">
        <v>13</v>
      </c>
      <c r="I2" s="3" t="s">
        <v>14</v>
      </c>
      <c r="J2" s="3" t="s">
        <v>15</v>
      </c>
      <c r="K2" s="3" t="s">
        <v>8</v>
      </c>
      <c r="L2" s="3" t="s">
        <v>9</v>
      </c>
      <c r="M2" s="3" t="s">
        <v>10</v>
      </c>
      <c r="N2" s="3" t="s">
        <v>11</v>
      </c>
      <c r="O2" s="3" t="s">
        <v>16</v>
      </c>
      <c r="P2" s="3" t="s">
        <v>17</v>
      </c>
      <c r="Q2" s="3" t="s">
        <v>18</v>
      </c>
      <c r="R2" s="3" t="s">
        <v>19</v>
      </c>
      <c r="W2">
        <v>2025</v>
      </c>
      <c r="X2">
        <v>2026</v>
      </c>
      <c r="Y2">
        <v>2027</v>
      </c>
      <c r="Z2">
        <v>2028</v>
      </c>
      <c r="AA2">
        <v>2029</v>
      </c>
      <c r="AB2">
        <v>2030</v>
      </c>
      <c r="AC2">
        <v>2031</v>
      </c>
      <c r="AD2">
        <v>2032</v>
      </c>
      <c r="AE2">
        <v>2033</v>
      </c>
      <c r="AF2">
        <v>2034</v>
      </c>
      <c r="AG2">
        <v>2035</v>
      </c>
    </row>
    <row r="3" spans="1:33" x14ac:dyDescent="0.25">
      <c r="B3" t="s">
        <v>20</v>
      </c>
      <c r="G3" s="3">
        <f>861-H3</f>
        <v>403</v>
      </c>
      <c r="H3" s="3">
        <v>458</v>
      </c>
      <c r="J3" s="3">
        <v>544</v>
      </c>
      <c r="K3" s="3">
        <f>1011-L3</f>
        <v>467</v>
      </c>
      <c r="L3" s="3">
        <v>544</v>
      </c>
    </row>
    <row r="4" spans="1:33" x14ac:dyDescent="0.25">
      <c r="B4" t="s">
        <v>21</v>
      </c>
      <c r="G4" s="3">
        <f>212-H4</f>
        <v>101</v>
      </c>
      <c r="H4" s="3">
        <v>111</v>
      </c>
      <c r="J4" s="3">
        <v>326</v>
      </c>
      <c r="K4" s="3">
        <f>581-L4</f>
        <v>255</v>
      </c>
      <c r="L4" s="3">
        <v>326</v>
      </c>
    </row>
    <row r="5" spans="1:33" x14ac:dyDescent="0.25">
      <c r="B5" s="6" t="s">
        <v>7</v>
      </c>
      <c r="C5" s="7"/>
      <c r="D5" s="7"/>
      <c r="E5" s="7"/>
      <c r="F5" s="7"/>
      <c r="G5" s="7">
        <f>SUM(G3:G4)</f>
        <v>504</v>
      </c>
      <c r="H5" s="7">
        <f>SUM(H3:H4)</f>
        <v>569</v>
      </c>
      <c r="I5" s="7"/>
      <c r="J5" s="7">
        <f>SUM(J3:J4)</f>
        <v>870</v>
      </c>
      <c r="K5" s="7">
        <f>SUM(K3:K4)</f>
        <v>722</v>
      </c>
      <c r="L5" s="7">
        <f>SUM(L3:L4)</f>
        <v>870</v>
      </c>
      <c r="M5" s="7"/>
      <c r="N5" s="7"/>
      <c r="O5" s="7"/>
      <c r="P5" s="7"/>
      <c r="Q5" s="7"/>
      <c r="R5" s="7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</row>
    <row r="6" spans="1:33" x14ac:dyDescent="0.25">
      <c r="B6" t="s">
        <v>24</v>
      </c>
      <c r="G6" s="3">
        <f>654-H6</f>
        <v>309</v>
      </c>
      <c r="H6" s="3">
        <v>345</v>
      </c>
      <c r="J6" s="3">
        <v>342</v>
      </c>
      <c r="K6" s="3">
        <f>657-L6</f>
        <v>315</v>
      </c>
      <c r="L6" s="3">
        <v>342</v>
      </c>
    </row>
    <row r="7" spans="1:33" x14ac:dyDescent="0.25">
      <c r="B7" t="s">
        <v>25</v>
      </c>
      <c r="G7" s="3">
        <f>201-H7</f>
        <v>97</v>
      </c>
      <c r="H7" s="3">
        <v>104</v>
      </c>
      <c r="J7" s="3">
        <v>199</v>
      </c>
      <c r="K7" s="3">
        <f>387-L7</f>
        <v>188</v>
      </c>
      <c r="L7" s="3">
        <v>199</v>
      </c>
    </row>
    <row r="8" spans="1:33" x14ac:dyDescent="0.25">
      <c r="B8" t="s">
        <v>26</v>
      </c>
      <c r="G8" s="3">
        <f>298-H8</f>
        <v>146</v>
      </c>
      <c r="H8" s="3">
        <v>152</v>
      </c>
      <c r="J8" s="3">
        <v>191</v>
      </c>
      <c r="K8" s="3">
        <f>369-L8</f>
        <v>178</v>
      </c>
      <c r="L8" s="3">
        <v>191</v>
      </c>
    </row>
    <row r="9" spans="1:33" x14ac:dyDescent="0.25">
      <c r="B9" t="s">
        <v>29</v>
      </c>
      <c r="G9" s="3">
        <f>18-H9</f>
        <v>10</v>
      </c>
      <c r="H9" s="3">
        <v>8</v>
      </c>
      <c r="J9" s="3">
        <v>10</v>
      </c>
      <c r="K9" s="3">
        <f>20-L9</f>
        <v>10</v>
      </c>
      <c r="L9" s="3">
        <v>10</v>
      </c>
    </row>
    <row r="10" spans="1:33" x14ac:dyDescent="0.25">
      <c r="B10" t="s">
        <v>27</v>
      </c>
      <c r="G10" s="3">
        <f>129-H10</f>
        <v>57</v>
      </c>
      <c r="H10" s="3">
        <v>72</v>
      </c>
      <c r="J10" s="3">
        <v>93</v>
      </c>
      <c r="K10" s="3">
        <f>167-L10</f>
        <v>74</v>
      </c>
      <c r="L10" s="3">
        <v>93</v>
      </c>
    </row>
    <row r="11" spans="1:33" x14ac:dyDescent="0.25">
      <c r="B11" t="s">
        <v>28</v>
      </c>
      <c r="G11" s="3">
        <f t="shared" ref="G11:K11" si="0">SUM(G6:G10)</f>
        <v>619</v>
      </c>
      <c r="H11" s="3">
        <f t="shared" si="0"/>
        <v>681</v>
      </c>
      <c r="I11" s="3">
        <f t="shared" si="0"/>
        <v>0</v>
      </c>
      <c r="J11" s="3">
        <f>SUM(J6:J10)</f>
        <v>835</v>
      </c>
      <c r="K11" s="3">
        <f t="shared" si="0"/>
        <v>765</v>
      </c>
      <c r="L11" s="3">
        <f>SUM(L6:L10)</f>
        <v>835</v>
      </c>
    </row>
    <row r="12" spans="1:33" x14ac:dyDescent="0.25">
      <c r="B12" s="6" t="s">
        <v>38</v>
      </c>
      <c r="C12" s="7"/>
      <c r="D12" s="7"/>
      <c r="E12" s="7"/>
      <c r="F12" s="7"/>
      <c r="G12" s="7">
        <f t="shared" ref="G12:K12" si="1">G5-G11</f>
        <v>-115</v>
      </c>
      <c r="H12" s="7">
        <f t="shared" si="1"/>
        <v>-112</v>
      </c>
      <c r="I12" s="7">
        <f t="shared" si="1"/>
        <v>0</v>
      </c>
      <c r="J12" s="7">
        <f>J5-J11</f>
        <v>35</v>
      </c>
      <c r="K12" s="7">
        <f t="shared" si="1"/>
        <v>-43</v>
      </c>
      <c r="L12" s="7">
        <f>L5-L11</f>
        <v>35</v>
      </c>
    </row>
    <row r="13" spans="1:33" x14ac:dyDescent="0.25">
      <c r="B13" t="s">
        <v>34</v>
      </c>
      <c r="G13" s="3">
        <f>-475-H13</f>
        <v>-228</v>
      </c>
      <c r="H13" s="3">
        <v>-247</v>
      </c>
      <c r="J13" s="3">
        <v>-264</v>
      </c>
      <c r="K13" s="3">
        <f>-528-L13</f>
        <v>-264</v>
      </c>
      <c r="L13" s="3">
        <v>-264</v>
      </c>
    </row>
    <row r="14" spans="1:33" x14ac:dyDescent="0.25">
      <c r="B14" t="s">
        <v>35</v>
      </c>
      <c r="G14" s="3">
        <f>-60-H14</f>
        <v>-45</v>
      </c>
      <c r="H14" s="3">
        <v>-15</v>
      </c>
      <c r="J14" s="3">
        <v>17</v>
      </c>
      <c r="K14" s="3">
        <f>35-L14</f>
        <v>18</v>
      </c>
      <c r="L14" s="3">
        <v>17</v>
      </c>
    </row>
    <row r="15" spans="1:33" x14ac:dyDescent="0.25">
      <c r="B15" s="6" t="s">
        <v>40</v>
      </c>
      <c r="C15" s="7"/>
      <c r="D15" s="7"/>
      <c r="E15" s="7"/>
      <c r="F15" s="7"/>
      <c r="G15" s="7">
        <f>+G12+G13+G14</f>
        <v>-388</v>
      </c>
      <c r="H15" s="7">
        <f t="shared" ref="H15:L15" si="2">+H12+H13+H14</f>
        <v>-374</v>
      </c>
      <c r="I15" s="7">
        <f t="shared" si="2"/>
        <v>0</v>
      </c>
      <c r="J15" s="7">
        <f t="shared" si="2"/>
        <v>-212</v>
      </c>
      <c r="K15" s="7">
        <f t="shared" si="2"/>
        <v>-289</v>
      </c>
      <c r="L15" s="7">
        <f t="shared" si="2"/>
        <v>-212</v>
      </c>
      <c r="M15" s="7"/>
      <c r="N15" s="7"/>
      <c r="O15" s="7"/>
      <c r="P15" s="7"/>
      <c r="Q15" s="7"/>
      <c r="R15" s="7"/>
    </row>
    <row r="16" spans="1:33" x14ac:dyDescent="0.25">
      <c r="B16" t="s">
        <v>36</v>
      </c>
      <c r="G16" s="3">
        <f>-205-H16</f>
        <v>-110</v>
      </c>
      <c r="H16" s="3">
        <v>-95</v>
      </c>
      <c r="J16" s="3">
        <v>-4</v>
      </c>
      <c r="K16" s="3">
        <f>-3-L16</f>
        <v>1</v>
      </c>
      <c r="L16" s="3">
        <v>-4</v>
      </c>
    </row>
    <row r="17" spans="2:12" x14ac:dyDescent="0.25">
      <c r="B17" t="s">
        <v>39</v>
      </c>
      <c r="G17" s="3">
        <f>+G15-G16</f>
        <v>-278</v>
      </c>
      <c r="H17" s="3">
        <f t="shared" ref="H17:L17" si="3">+H15-H16</f>
        <v>-279</v>
      </c>
      <c r="I17" s="3">
        <f t="shared" si="3"/>
        <v>0</v>
      </c>
      <c r="J17" s="3">
        <f t="shared" si="3"/>
        <v>-208</v>
      </c>
      <c r="K17" s="3">
        <f t="shared" si="3"/>
        <v>-290</v>
      </c>
      <c r="L17" s="3">
        <f t="shared" si="3"/>
        <v>-208</v>
      </c>
    </row>
    <row r="22" spans="2:12" x14ac:dyDescent="0.25">
      <c r="B22" t="s">
        <v>22</v>
      </c>
      <c r="K22" s="4">
        <f>K5/G5-1</f>
        <v>0.43253968253968256</v>
      </c>
      <c r="L22" s="4">
        <f>L5/H5-1</f>
        <v>0.52899824253075578</v>
      </c>
    </row>
    <row r="23" spans="2:12" x14ac:dyDescent="0.25">
      <c r="B23" t="s">
        <v>37</v>
      </c>
      <c r="C23" s="4" t="e">
        <f t="shared" ref="C23:L23" si="4">C12/C5</f>
        <v>#DIV/0!</v>
      </c>
      <c r="D23" s="4" t="e">
        <f t="shared" si="4"/>
        <v>#DIV/0!</v>
      </c>
      <c r="E23" s="4" t="e">
        <f t="shared" si="4"/>
        <v>#DIV/0!</v>
      </c>
      <c r="F23" s="4" t="e">
        <f t="shared" si="4"/>
        <v>#DIV/0!</v>
      </c>
      <c r="G23" s="4">
        <f t="shared" si="4"/>
        <v>-0.22817460317460317</v>
      </c>
      <c r="H23" s="4">
        <f t="shared" si="4"/>
        <v>-0.19683655536028119</v>
      </c>
      <c r="I23" s="4" t="e">
        <f t="shared" si="4"/>
        <v>#DIV/0!</v>
      </c>
      <c r="J23" s="4">
        <f t="shared" si="4"/>
        <v>4.0229885057471264E-2</v>
      </c>
      <c r="K23" s="4">
        <f t="shared" si="4"/>
        <v>-5.9556786703601108E-2</v>
      </c>
      <c r="L23" s="4">
        <f>L12/L5</f>
        <v>4.0229885057471264E-2</v>
      </c>
    </row>
    <row r="24" spans="2:12" x14ac:dyDescent="0.25">
      <c r="B24" t="s">
        <v>42</v>
      </c>
      <c r="K24" s="3">
        <f>+(227*2)-L24</f>
        <v>225</v>
      </c>
      <c r="L24" s="3">
        <v>229</v>
      </c>
    </row>
    <row r="26" spans="2:12" x14ac:dyDescent="0.25">
      <c r="B26" t="s">
        <v>43</v>
      </c>
      <c r="C26" s="4" t="e">
        <f t="shared" ref="C26:L26" si="5">C16/C15</f>
        <v>#DIV/0!</v>
      </c>
      <c r="D26" s="4" t="e">
        <f t="shared" si="5"/>
        <v>#DIV/0!</v>
      </c>
      <c r="E26" s="4" t="e">
        <f t="shared" si="5"/>
        <v>#DIV/0!</v>
      </c>
      <c r="F26" s="4" t="e">
        <f t="shared" si="5"/>
        <v>#DIV/0!</v>
      </c>
      <c r="G26" s="4">
        <f t="shared" si="5"/>
        <v>0.28350515463917525</v>
      </c>
      <c r="H26" s="4">
        <f t="shared" si="5"/>
        <v>0.25401069518716579</v>
      </c>
      <c r="I26" s="4" t="e">
        <f t="shared" si="5"/>
        <v>#DIV/0!</v>
      </c>
      <c r="J26" s="4">
        <f t="shared" si="5"/>
        <v>1.8867924528301886E-2</v>
      </c>
      <c r="K26" s="4">
        <f t="shared" si="5"/>
        <v>-3.4602076124567475E-3</v>
      </c>
      <c r="L26" s="4">
        <f>L16/L15</f>
        <v>1.8867924528301886E-2</v>
      </c>
    </row>
  </sheetData>
  <hyperlinks>
    <hyperlink ref="A1" location="Main!A1" display="Main" xr:uid="{9C54FA0C-DCC4-496B-9899-E908EF8A3B26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Dillon Walton</dc:creator>
  <cp:lastModifiedBy>Dillon Walton</cp:lastModifiedBy>
  <dcterms:created xsi:type="dcterms:W3CDTF">2026-08-19T13:38:23Z</dcterms:created>
  <dcterms:modified xsi:type="dcterms:W3CDTF">2026-08-19T14:46:21Z</dcterms:modified>
</cp:coreProperties>
</file>