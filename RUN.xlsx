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onwalton/Desktop/business/models/"/>
    </mc:Choice>
  </mc:AlternateContent>
  <xr:revisionPtr revIDLastSave="0" documentId="13_ncr:1_{9AD65FAA-084A-2C4E-9567-B92D5DAA6EC7}" xr6:coauthVersionLast="47" xr6:coauthVersionMax="47" xr10:uidLastSave="{00000000-0000-0000-0000-000000000000}"/>
  <bookViews>
    <workbookView xWindow="16440" yWindow="760" windowWidth="17840" windowHeight="20420" xr2:uid="{9D3C2D84-5F7F-6146-AC5E-524ED8ABBA60}"/>
  </bookViews>
  <sheets>
    <sheet name="Main" sheetId="1" r:id="rId1"/>
    <sheet name="Model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2" l="1"/>
  <c r="L55" i="2"/>
  <c r="L41" i="2" l="1"/>
  <c r="H41" i="2"/>
  <c r="L40" i="2"/>
  <c r="H40" i="2"/>
  <c r="I31" i="2"/>
  <c r="J31" i="2"/>
  <c r="K31" i="2"/>
  <c r="H30" i="2"/>
  <c r="L30" i="2"/>
  <c r="H27" i="2"/>
  <c r="L27" i="2"/>
  <c r="H7" i="2"/>
  <c r="L31" i="2" l="1"/>
  <c r="L35" i="2" s="1"/>
  <c r="H31" i="2"/>
  <c r="H35" i="2" s="1"/>
  <c r="L39" i="2" l="1"/>
  <c r="H3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B40" authorId="0" shapeId="0" xr:uid="{566A000E-DF3D-CF43-9AE5-A9E6B342DAE4}">
      <text>
        <r>
          <rPr>
            <b/>
            <sz val="10"/>
            <color rgb="FF000000"/>
            <rFont val="Tahoma"/>
            <family val="2"/>
          </rPr>
          <t xml:space="preserve">VAE Ventures:
</t>
        </r>
        <r>
          <rPr>
            <sz val="10"/>
            <color rgb="FF000000"/>
            <rFont val="Tahoma"/>
            <family val="2"/>
          </rPr>
          <t>Bundle and securize the cash flows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VAE Ventures</author>
  </authors>
  <commentList>
    <comment ref="B19" authorId="0" shapeId="0" xr:uid="{C4BB1BF8-9529-B94B-A0B8-F6F1AC99F334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Number of addiitons with storage installed</t>
        </r>
      </text>
    </comment>
    <comment ref="L19" authorId="0" shapeId="0" xr:uid="{715922FC-F2BF-FC48-9B7B-9BC5134C7DDC}">
      <text>
        <r>
          <rPr>
            <b/>
            <sz val="10"/>
            <color rgb="FF000000"/>
            <rFont val="Tahoma"/>
            <family val="2"/>
          </rPr>
          <t>VAE Ventures: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Record</t>
        </r>
      </text>
    </comment>
  </commentList>
</comments>
</file>

<file path=xl/sharedStrings.xml><?xml version="1.0" encoding="utf-8"?>
<sst xmlns="http://schemas.openxmlformats.org/spreadsheetml/2006/main" count="106" uniqueCount="101">
  <si>
    <t>Main</t>
  </si>
  <si>
    <t>Revenue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</si>
  <si>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</si>
  <si>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</si>
  <si>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</si>
  <si>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</si>
  <si>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</si>
  <si>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</si>
  <si>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</si>
  <si>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</si>
  <si>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</si>
  <si>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</si>
  <si>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</si>
  <si>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</si>
  <si>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</si>
  <si>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</si>
  <si>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</si>
  <si>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</si>
  <si>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COGs</t>
  </si>
  <si>
    <t>Gross Profit</t>
  </si>
  <si>
    <t>Price</t>
  </si>
  <si>
    <t>Shares Outstanding</t>
  </si>
  <si>
    <t>Mkt Cap</t>
  </si>
  <si>
    <t>Cash</t>
  </si>
  <si>
    <t>Debt</t>
  </si>
  <si>
    <t>EV</t>
  </si>
  <si>
    <t>Aggregate Subscriber Value</t>
  </si>
  <si>
    <t>Storage Attachment Rate</t>
  </si>
  <si>
    <t>Networked Storage Capacity</t>
  </si>
  <si>
    <t>Safe harbor investments</t>
  </si>
  <si>
    <t>Affiliate channel volumes</t>
  </si>
  <si>
    <t>Aggregate storage + solar</t>
  </si>
  <si>
    <t>Aggregate storage capacity (Mwh)</t>
  </si>
  <si>
    <t>Subscriber additions</t>
  </si>
  <si>
    <t>Aggregate subscribers</t>
  </si>
  <si>
    <t>Storage capacity</t>
  </si>
  <si>
    <t>Subscriber value</t>
  </si>
  <si>
    <t>Contracted subscriber value</t>
  </si>
  <si>
    <t>Customer agreements + incentives</t>
  </si>
  <si>
    <t>Energy systems and porudct sales</t>
  </si>
  <si>
    <t>Cost of customer agreements + incentives</t>
  </si>
  <si>
    <t>Cost of energy systems + product sales</t>
  </si>
  <si>
    <t>Gross profit %</t>
  </si>
  <si>
    <t>S&amp;M</t>
  </si>
  <si>
    <t>R&amp;D</t>
  </si>
  <si>
    <t>G&amp;A</t>
  </si>
  <si>
    <t>Operating profit</t>
  </si>
  <si>
    <t>Customer agreements + incentives %</t>
  </si>
  <si>
    <t>Energy systems and porudct sales %</t>
  </si>
  <si>
    <t>Restricted cash</t>
  </si>
  <si>
    <t>AR</t>
  </si>
  <si>
    <t>Inventories</t>
  </si>
  <si>
    <t>Other current</t>
  </si>
  <si>
    <t>Other</t>
  </si>
  <si>
    <t>AP</t>
  </si>
  <si>
    <t>Deferred grant</t>
  </si>
  <si>
    <t>Finance lease</t>
  </si>
  <si>
    <t>Non-recourse debt</t>
  </si>
  <si>
    <t>Distributions payable (current)</t>
  </si>
  <si>
    <t>Accrued expense (current)</t>
  </si>
  <si>
    <t>Deferred rev (current)</t>
  </si>
  <si>
    <t>Deferred grant (current)</t>
  </si>
  <si>
    <t xml:space="preserve">Deferred rev </t>
  </si>
  <si>
    <t>Fiannce lease</t>
  </si>
  <si>
    <t>Convertible senior notes</t>
  </si>
  <si>
    <t>LoC</t>
  </si>
  <si>
    <t>non-recourse debt</t>
  </si>
  <si>
    <t>Assets</t>
  </si>
  <si>
    <t>L + SE</t>
  </si>
  <si>
    <t>Restricted (LT)</t>
  </si>
  <si>
    <t>Energy systems (net)</t>
  </si>
  <si>
    <t>PP&amp;E (net)</t>
  </si>
  <si>
    <t>Solar</t>
  </si>
  <si>
    <t>Storage</t>
  </si>
  <si>
    <t>Solar + Storage</t>
  </si>
  <si>
    <t>30-year contract period</t>
  </si>
  <si>
    <t>Gross earning assets DR</t>
  </si>
  <si>
    <t>25yr + 5yr renewal</t>
  </si>
  <si>
    <t>20yr + 10yr renewal</t>
  </si>
  <si>
    <t>Purchase</t>
  </si>
  <si>
    <t>Deployments -&gt; recognized as energy systems on balance sheet (irrespective of active)?</t>
  </si>
  <si>
    <t>Retained + Non / Partially Retained</t>
  </si>
  <si>
    <t>Deployments -&gt; Subscribers + Purchase customers</t>
  </si>
  <si>
    <t>Deployments Include multi-deployments on a property</t>
  </si>
  <si>
    <t>Definitions</t>
  </si>
  <si>
    <t>Storage attachment: Customer additions with storage / customer additions</t>
  </si>
  <si>
    <t>Are they deploying standalone storage?</t>
  </si>
  <si>
    <t>Active in 22 states + PR</t>
  </si>
  <si>
    <t>Which states</t>
  </si>
  <si>
    <t>Mary Powell</t>
  </si>
  <si>
    <t>CEO</t>
  </si>
  <si>
    <t>Flex customer agreements</t>
  </si>
  <si>
    <t>Variable billing based on electricity consumed</t>
  </si>
  <si>
    <t>Danny Abajian</t>
  </si>
  <si>
    <t>CFO</t>
  </si>
  <si>
    <t>ABS</t>
  </si>
  <si>
    <t>Asset backed securities</t>
  </si>
  <si>
    <t>42 utility territories</t>
  </si>
  <si>
    <t>Customer FICO</t>
  </si>
  <si>
    <t>Storage installs (Mwh)</t>
  </si>
  <si>
    <t>Solar installs (MW)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</si>
</sst>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5" formatCode="_(* #,##0_);_(* \(#,##0\);_(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2" fillId="0" borderId="0" xfId="2"/>
    <xf numFmtId="0" fontId="0" fillId="0" borderId="0" xfId="0" applyAlignment="1">
      <alignment horizontal="right"/>
    </xf>
    <xf numFmtId="41" fontId="0" fillId="0" borderId="0" xfId="1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0" fontId="4" fillId="0" borderId="0" xfId="0" applyFont="1" applyAlignment="1">
      <alignment horizontal="right"/>
    </xf>
    <xf numFmtId="1" fontId="4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4" fillId="0" borderId="0" xfId="0" applyNumberFormat="1" applyFont="1" applyAlignment="1">
      <alignment horizontal="right"/>
    </xf>
    <xf numFmtId="0" fontId="4" fillId="0" borderId="0" xfId="0" applyFont="1"/>
    <xf numFmtId="0" fontId="0" fillId="0" borderId="0" xfId="0" applyAlignment="1">
      <alignment horizontal="left"/>
    </xf>
    <xf numFmtId="165" fontId="0" fillId="0" borderId="0" xfId="1" applyNumberFormat="1" applyFont="1" applyAlignment="1">
      <alignment horizontal="right"/>
    </xf>
    <xf numFmtId="165" fontId="3" fillId="0" borderId="0" xfId="1" applyNumberFormat="1" applyFont="1" applyAlignment="1">
      <alignment horizontal="right"/>
    </xf>
    <xf numFmtId="165" fontId="4" fillId="0" borderId="0" xfId="1" applyNumberFormat="1" applyFont="1" applyAlignment="1">
      <alignment horizontal="right"/>
    </xf>
    <xf numFmtId="0" fontId="3" fillId="0" borderId="0" xfId="0" applyFont="1" applyAlignment="1">
      <alignment horizontal="left"/>
    </xf>
    <xf numFmtId="3" fontId="0" fillId="0" borderId="0" xfId="0" applyNumberFormat="1"/>
    <xf numFmtId="3" fontId="3" fillId="0" borderId="0" xfId="0" applyNumberFormat="1" applyFont="1"/>
    <xf numFmtId="3" fontId="3" fillId="0" borderId="0" xfId="0" applyNumberFormat="1" applyFont="1" applyAlignment="1">
      <alignment horizontal="right"/>
    </xf>
    <xf numFmtId="9" fontId="0" fillId="0" borderId="0" xfId="1" applyNumberFormat="1" applyFont="1" applyAlignment="1">
      <alignment horizontal="right"/>
    </xf>
    <xf numFmtId="0" fontId="0" fillId="0" borderId="2" xfId="0" applyNumberFormat="1" applyBorder="1"/>
    <xf numFmtId="0" fontId="0" fillId="0" borderId="3" xfId="0" applyNumberFormat="1" applyBorder="1"/>
    <xf numFmtId="0" fontId="0" fillId="0" borderId="4" xfId="0" applyNumberFormat="1" applyBorder="1"/>
    <xf numFmtId="0" fontId="0" fillId="0" borderId="0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3" fillId="0" borderId="4" xfId="0" applyNumberFormat="1" applyFont="1" applyBorder="1"/>
    <xf numFmtId="0" fontId="3" fillId="0" borderId="1" xfId="0" applyNumberFormat="1" applyFont="1" applyBorder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812800</xdr:colOff>
      <xdr:row>0</xdr:row>
      <xdr:rowOff>76200</xdr:rowOff>
    </xdr:from>
    <xdr:to>
      <xdr:col>11</xdr:col>
      <xdr:colOff>812800</xdr:colOff>
      <xdr:row>63</xdr:row>
      <xdr:rowOff>152400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3B41B2A8-CED2-1A8B-27DA-160C04EFA9BD}"/>
            </a:ext>
          </a:extLst>
        </xdr:cNvPr>
        <xdr:cNvCxnSpPr/>
      </xdr:nvCxnSpPr>
      <xdr:spPr>
        <a:xfrm>
          <a:off x="10833100" y="76200"/>
          <a:ext cx="0" cy="82042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A2CA0-F8F8-1B4B-B3FC-05193A1AF39B}">
  <dimension ref="B3:K48"/>
  <sheetViews>
    <sheetView tabSelected="1" workbookViewId="0">
      <selection activeCell="C9" sqref="C9"/>
    </sheetView>
  </sheetViews>
  <sheetFormatPr baseColWidth="10" defaultRowHeight="16" x14ac:dyDescent="0.2"/>
  <cols>
    <col min="2" max="2" width="20.33203125" bestFit="1" customWidth="1"/>
    <col min="9" max="9" width="17" bestFit="1" customWidth="1"/>
  </cols>
  <sheetData>
    <row r="3" spans="2:11" x14ac:dyDescent="0.2">
      <c r="I3" t="s">
        <v>20</v>
      </c>
      <c r="J3">
        <v>9.26</v>
      </c>
    </row>
    <row r="4" spans="2:11" x14ac:dyDescent="0.2">
      <c r="B4" t="s">
        <v>72</v>
      </c>
      <c r="I4" t="s">
        <v>21</v>
      </c>
      <c r="K4" t="s">
        <v>11</v>
      </c>
    </row>
    <row r="5" spans="2:11" x14ac:dyDescent="0.2">
      <c r="B5" t="s">
        <v>73</v>
      </c>
      <c r="I5" t="s">
        <v>22</v>
      </c>
    </row>
    <row r="6" spans="2:11" x14ac:dyDescent="0.2">
      <c r="B6" t="s">
        <v>74</v>
      </c>
      <c r="I6" t="s">
        <v>23</v>
      </c>
      <c r="K6" t="s">
        <v>11</v>
      </c>
    </row>
    <row r="7" spans="2:11" x14ac:dyDescent="0.2">
      <c r="I7" t="s">
        <v>24</v>
      </c>
      <c r="K7" t="s">
        <v>11</v>
      </c>
    </row>
    <row r="8" spans="2:11" x14ac:dyDescent="0.2">
      <c r="I8" t="s">
        <v>25</v>
      </c>
    </row>
    <row r="12" spans="2:11" x14ac:dyDescent="0.2">
      <c r="B12" t="s">
        <v>75</v>
      </c>
    </row>
    <row r="13" spans="2:11" x14ac:dyDescent="0.2">
      <c r="B13" t="s">
        <v>77</v>
      </c>
    </row>
    <row r="14" spans="2:11" x14ac:dyDescent="0.2">
      <c r="B14" t="s">
        <v>78</v>
      </c>
    </row>
    <row r="15" spans="2:11" x14ac:dyDescent="0.2">
      <c r="B15" t="s">
        <v>79</v>
      </c>
    </row>
    <row r="16" spans="2:11" x14ac:dyDescent="0.2">
      <c r="B16" t="s">
        <v>91</v>
      </c>
      <c r="C16" t="s">
        <v>92</v>
      </c>
    </row>
    <row r="21" spans="2:3" x14ac:dyDescent="0.2">
      <c r="B21" t="s">
        <v>87</v>
      </c>
    </row>
    <row r="22" spans="2:3" x14ac:dyDescent="0.2">
      <c r="B22" t="s">
        <v>97</v>
      </c>
    </row>
    <row r="23" spans="2:3" x14ac:dyDescent="0.2">
      <c r="B23" t="s">
        <v>98</v>
      </c>
    </row>
    <row r="26" spans="2:3" x14ac:dyDescent="0.2">
      <c r="B26" t="s">
        <v>89</v>
      </c>
      <c r="C26" t="s">
        <v>90</v>
      </c>
    </row>
    <row r="27" spans="2:3" x14ac:dyDescent="0.2">
      <c r="B27" t="s">
        <v>93</v>
      </c>
      <c r="C27" t="s">
        <v>94</v>
      </c>
    </row>
    <row r="33" spans="2:8" x14ac:dyDescent="0.2">
      <c r="B33" s="30" t="s">
        <v>84</v>
      </c>
      <c r="C33" s="21"/>
      <c r="D33" s="21"/>
      <c r="E33" s="21"/>
      <c r="F33" s="21"/>
      <c r="G33" s="21"/>
      <c r="H33" s="22"/>
    </row>
    <row r="34" spans="2:8" x14ac:dyDescent="0.2">
      <c r="B34" s="23" t="s">
        <v>83</v>
      </c>
      <c r="C34" s="24"/>
      <c r="D34" s="24"/>
      <c r="E34" s="24"/>
      <c r="F34" s="24"/>
      <c r="G34" s="24"/>
      <c r="H34" s="25"/>
    </row>
    <row r="35" spans="2:8" x14ac:dyDescent="0.2">
      <c r="B35" s="23" t="s">
        <v>80</v>
      </c>
      <c r="C35" s="24"/>
      <c r="D35" s="24"/>
      <c r="E35" s="24"/>
      <c r="F35" s="24"/>
      <c r="G35" s="24"/>
      <c r="H35" s="25"/>
    </row>
    <row r="36" spans="2:8" x14ac:dyDescent="0.2">
      <c r="B36" s="23" t="s">
        <v>81</v>
      </c>
      <c r="C36" s="24"/>
      <c r="D36" s="24"/>
      <c r="E36" s="24"/>
      <c r="F36" s="24"/>
      <c r="G36" s="24"/>
      <c r="H36" s="25"/>
    </row>
    <row r="37" spans="2:8" x14ac:dyDescent="0.2">
      <c r="B37" s="23"/>
      <c r="C37" s="24"/>
      <c r="D37" s="24"/>
      <c r="E37" s="24"/>
      <c r="F37" s="24"/>
      <c r="G37" s="24"/>
      <c r="H37" s="25"/>
    </row>
    <row r="38" spans="2:8" x14ac:dyDescent="0.2">
      <c r="B38" s="23" t="s">
        <v>82</v>
      </c>
      <c r="C38" s="24"/>
      <c r="D38" s="24"/>
      <c r="E38" s="24"/>
      <c r="F38" s="24"/>
      <c r="G38" s="24"/>
      <c r="H38" s="25"/>
    </row>
    <row r="39" spans="2:8" x14ac:dyDescent="0.2">
      <c r="B39" s="29" t="s">
        <v>85</v>
      </c>
      <c r="C39" s="24"/>
      <c r="D39" s="24"/>
      <c r="E39" s="24"/>
      <c r="F39" s="24"/>
      <c r="G39" s="24"/>
      <c r="H39" s="25"/>
    </row>
    <row r="40" spans="2:8" x14ac:dyDescent="0.2">
      <c r="B40" s="23" t="s">
        <v>95</v>
      </c>
      <c r="C40" s="24" t="s">
        <v>96</v>
      </c>
      <c r="D40" s="24"/>
      <c r="E40" s="24"/>
      <c r="F40" s="24"/>
      <c r="G40" s="24"/>
      <c r="H40" s="25"/>
    </row>
    <row r="41" spans="2:8" x14ac:dyDescent="0.2">
      <c r="B41" s="23"/>
      <c r="C41" s="24"/>
      <c r="D41" s="24"/>
      <c r="E41" s="24"/>
      <c r="F41" s="24"/>
      <c r="G41" s="24"/>
      <c r="H41" s="25"/>
    </row>
    <row r="42" spans="2:8" x14ac:dyDescent="0.2">
      <c r="B42" s="23"/>
      <c r="C42" s="24"/>
      <c r="D42" s="24"/>
      <c r="E42" s="24"/>
      <c r="F42" s="24"/>
      <c r="G42" s="24"/>
      <c r="H42" s="25"/>
    </row>
    <row r="43" spans="2:8" x14ac:dyDescent="0.2">
      <c r="B43" s="26"/>
      <c r="C43" s="27"/>
      <c r="D43" s="27"/>
      <c r="E43" s="27"/>
      <c r="F43" s="27"/>
      <c r="G43" s="27"/>
      <c r="H43" s="28"/>
    </row>
    <row r="47" spans="2:8" x14ac:dyDescent="0.2">
      <c r="B47" t="s">
        <v>86</v>
      </c>
    </row>
    <row r="48" spans="2:8" x14ac:dyDescent="0.2">
      <c r="B48" t="s">
        <v>88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B474-B097-5340-BFC4-5538622AC837}">
  <dimension ref="A1:R70"/>
  <sheetViews>
    <sheetView zoomScale="110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B11" sqref="B11"/>
    </sheetView>
  </sheetViews>
  <sheetFormatPr baseColWidth="10" defaultRowHeight="16" x14ac:dyDescent="0.2"/>
  <cols>
    <col min="2" max="2" width="35.33203125" bestFit="1" customWidth="1"/>
    <col min="3" max="16384" width="10.83203125" style="2"/>
  </cols>
  <sheetData>
    <row r="1" spans="1:18" x14ac:dyDescent="0.2">
      <c r="A1" s="1" t="s">
        <v>0</v>
      </c>
    </row>
    <row r="2" spans="1:18" x14ac:dyDescent="0.2"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</row>
    <row r="4" spans="1:18" x14ac:dyDescent="0.2">
      <c r="B4" t="s">
        <v>33</v>
      </c>
      <c r="H4" s="2">
        <v>28823</v>
      </c>
      <c r="I4" s="2">
        <v>30104</v>
      </c>
      <c r="J4" s="2">
        <v>25475</v>
      </c>
      <c r="K4" s="2">
        <v>17665</v>
      </c>
      <c r="L4" s="8">
        <v>19793</v>
      </c>
    </row>
    <row r="5" spans="1:18" x14ac:dyDescent="0.2">
      <c r="B5" t="s">
        <v>34</v>
      </c>
      <c r="L5" s="8">
        <v>1034738</v>
      </c>
    </row>
    <row r="6" spans="1:18" x14ac:dyDescent="0.2">
      <c r="L6" s="8"/>
    </row>
    <row r="7" spans="1:18" x14ac:dyDescent="0.2">
      <c r="B7" t="s">
        <v>36</v>
      </c>
      <c r="H7" s="9">
        <f>L7/1.1</f>
        <v>53979.090909090904</v>
      </c>
      <c r="I7" s="9">
        <v>52446</v>
      </c>
      <c r="J7" s="9">
        <v>50165</v>
      </c>
      <c r="K7" s="9">
        <v>61240</v>
      </c>
      <c r="L7" s="10">
        <v>59377</v>
      </c>
    </row>
    <row r="8" spans="1:18" x14ac:dyDescent="0.2">
      <c r="B8" t="s">
        <v>26</v>
      </c>
      <c r="K8" s="9">
        <v>1100</v>
      </c>
      <c r="L8" s="3">
        <v>1200</v>
      </c>
    </row>
    <row r="9" spans="1:18" x14ac:dyDescent="0.2">
      <c r="B9" t="s">
        <v>76</v>
      </c>
      <c r="L9" s="20">
        <v>0.06</v>
      </c>
    </row>
    <row r="10" spans="1:18" x14ac:dyDescent="0.2">
      <c r="L10" s="3"/>
    </row>
    <row r="11" spans="1:18" x14ac:dyDescent="0.2">
      <c r="L11" s="3"/>
    </row>
    <row r="12" spans="1:18" x14ac:dyDescent="0.2">
      <c r="B12" t="s">
        <v>37</v>
      </c>
      <c r="H12" s="9">
        <f>L12/1.1</f>
        <v>50029.999999999993</v>
      </c>
      <c r="I12" s="9"/>
      <c r="J12" s="9"/>
      <c r="K12" s="9"/>
      <c r="L12" s="10">
        <v>55033</v>
      </c>
    </row>
    <row r="13" spans="1:18" x14ac:dyDescent="0.2">
      <c r="L13" s="8"/>
    </row>
    <row r="14" spans="1:18" x14ac:dyDescent="0.2">
      <c r="B14" t="s">
        <v>35</v>
      </c>
      <c r="L14" s="8"/>
    </row>
    <row r="15" spans="1:18" x14ac:dyDescent="0.2">
      <c r="L15" s="8"/>
    </row>
    <row r="16" spans="1:18" x14ac:dyDescent="0.2">
      <c r="B16" t="s">
        <v>99</v>
      </c>
      <c r="L16" s="8">
        <v>332</v>
      </c>
    </row>
    <row r="17" spans="1:12" x14ac:dyDescent="0.2">
      <c r="B17" t="s">
        <v>100</v>
      </c>
      <c r="L17" s="8">
        <v>174</v>
      </c>
    </row>
    <row r="18" spans="1:12" x14ac:dyDescent="0.2">
      <c r="L18" s="8"/>
    </row>
    <row r="19" spans="1:12" x14ac:dyDescent="0.2">
      <c r="B19" t="s">
        <v>27</v>
      </c>
      <c r="H19" s="6">
        <v>0.7</v>
      </c>
      <c r="K19" s="6">
        <v>0.73</v>
      </c>
      <c r="L19" s="6">
        <v>0.74</v>
      </c>
    </row>
    <row r="20" spans="1:12" x14ac:dyDescent="0.2">
      <c r="B20" t="s">
        <v>28</v>
      </c>
    </row>
    <row r="21" spans="1:12" x14ac:dyDescent="0.2">
      <c r="B21" t="s">
        <v>30</v>
      </c>
    </row>
    <row r="22" spans="1:12" x14ac:dyDescent="0.2">
      <c r="B22" t="s">
        <v>31</v>
      </c>
      <c r="L22" s="2">
        <v>266000</v>
      </c>
    </row>
    <row r="23" spans="1:12" x14ac:dyDescent="0.2">
      <c r="B23" t="s">
        <v>32</v>
      </c>
      <c r="L23" s="2">
        <v>4600</v>
      </c>
    </row>
    <row r="25" spans="1:12" x14ac:dyDescent="0.2">
      <c r="B25" t="s">
        <v>38</v>
      </c>
      <c r="H25" s="13">
        <v>458</v>
      </c>
      <c r="I25" s="13"/>
      <c r="J25" s="13"/>
      <c r="K25" s="13"/>
      <c r="L25" s="13">
        <v>542.73</v>
      </c>
    </row>
    <row r="26" spans="1:12" x14ac:dyDescent="0.2">
      <c r="B26" t="s">
        <v>39</v>
      </c>
      <c r="H26" s="13">
        <v>111.336</v>
      </c>
      <c r="I26" s="13"/>
      <c r="J26" s="13"/>
      <c r="K26" s="13"/>
      <c r="L26" s="13">
        <v>326.25799999999998</v>
      </c>
    </row>
    <row r="27" spans="1:12" s="5" customFormat="1" x14ac:dyDescent="0.2">
      <c r="A27" s="4"/>
      <c r="B27" s="4" t="s">
        <v>1</v>
      </c>
      <c r="H27" s="14">
        <f>SUM(H25:H26)</f>
        <v>569.33600000000001</v>
      </c>
      <c r="I27" s="14"/>
      <c r="J27" s="14"/>
      <c r="K27" s="14"/>
      <c r="L27" s="14">
        <f>SUM(L25:L26)</f>
        <v>868.98800000000006</v>
      </c>
    </row>
    <row r="28" spans="1:12" s="7" customFormat="1" x14ac:dyDescent="0.2">
      <c r="A28" s="11"/>
      <c r="B28" s="11" t="s">
        <v>40</v>
      </c>
      <c r="H28" s="15">
        <v>345.37599999999998</v>
      </c>
      <c r="I28" s="15"/>
      <c r="J28" s="15"/>
      <c r="K28" s="15"/>
      <c r="L28" s="15">
        <v>342.452</v>
      </c>
    </row>
    <row r="29" spans="1:12" s="7" customFormat="1" x14ac:dyDescent="0.2">
      <c r="A29" s="11"/>
      <c r="B29" s="11" t="s">
        <v>41</v>
      </c>
      <c r="H29" s="15">
        <v>104.14400000000001</v>
      </c>
      <c r="I29" s="15"/>
      <c r="J29" s="15"/>
      <c r="K29" s="15"/>
      <c r="L29" s="15">
        <v>199.31200000000001</v>
      </c>
    </row>
    <row r="30" spans="1:12" x14ac:dyDescent="0.2">
      <c r="B30" s="12" t="s">
        <v>18</v>
      </c>
      <c r="H30" s="13">
        <f>SUM(H28:H29)</f>
        <v>449.52</v>
      </c>
      <c r="I30" s="13"/>
      <c r="J30" s="13"/>
      <c r="K30" s="13"/>
      <c r="L30" s="13">
        <f>SUM(L28:L29)</f>
        <v>541.76400000000001</v>
      </c>
    </row>
    <row r="31" spans="1:12" s="5" customFormat="1" x14ac:dyDescent="0.2">
      <c r="A31" s="4"/>
      <c r="B31" s="16" t="s">
        <v>19</v>
      </c>
      <c r="H31" s="14">
        <f>H27-H30</f>
        <v>119.81600000000003</v>
      </c>
      <c r="I31" s="14">
        <f t="shared" ref="I31:L31" si="0">I27-I30</f>
        <v>0</v>
      </c>
      <c r="J31" s="14">
        <f t="shared" si="0"/>
        <v>0</v>
      </c>
      <c r="K31" s="14">
        <f t="shared" si="0"/>
        <v>0</v>
      </c>
      <c r="L31" s="14">
        <f t="shared" si="0"/>
        <v>327.22400000000005</v>
      </c>
    </row>
    <row r="32" spans="1:12" x14ac:dyDescent="0.2">
      <c r="B32" s="12" t="s">
        <v>43</v>
      </c>
      <c r="H32" s="13">
        <v>152.459</v>
      </c>
      <c r="I32" s="13"/>
      <c r="J32" s="13"/>
      <c r="K32" s="13"/>
      <c r="L32" s="13">
        <v>190.68100000000001</v>
      </c>
    </row>
    <row r="33" spans="1:12" x14ac:dyDescent="0.2">
      <c r="B33" s="12" t="s">
        <v>44</v>
      </c>
      <c r="H33" s="13">
        <v>8.0630000000000006</v>
      </c>
      <c r="I33" s="13"/>
      <c r="J33" s="13"/>
      <c r="K33" s="13"/>
      <c r="L33" s="13">
        <v>10.234</v>
      </c>
    </row>
    <row r="34" spans="1:12" x14ac:dyDescent="0.2">
      <c r="B34" s="12" t="s">
        <v>45</v>
      </c>
      <c r="H34" s="13">
        <v>71.543000000000006</v>
      </c>
      <c r="I34" s="13"/>
      <c r="J34" s="13"/>
      <c r="K34" s="13"/>
      <c r="L34" s="13">
        <v>92.521000000000001</v>
      </c>
    </row>
    <row r="35" spans="1:12" s="5" customFormat="1" x14ac:dyDescent="0.2">
      <c r="A35" s="4"/>
      <c r="B35" s="16" t="s">
        <v>46</v>
      </c>
      <c r="H35" s="14">
        <f>H31-SUM(H32:H34)</f>
        <v>-112.24899999999997</v>
      </c>
      <c r="I35" s="14"/>
      <c r="J35" s="14"/>
      <c r="K35" s="14"/>
      <c r="L35" s="14">
        <f>L31-SUM(L32:L34)</f>
        <v>33.788000000000011</v>
      </c>
    </row>
    <row r="36" spans="1:12" x14ac:dyDescent="0.2">
      <c r="B36" s="12"/>
    </row>
    <row r="39" spans="1:12" x14ac:dyDescent="0.2">
      <c r="B39" t="s">
        <v>42</v>
      </c>
      <c r="H39" s="6">
        <f>H31/H27</f>
        <v>0.2104486630039204</v>
      </c>
      <c r="I39" s="6"/>
      <c r="J39" s="6"/>
      <c r="K39" s="6"/>
      <c r="L39" s="6">
        <f>L31/L27</f>
        <v>0.3765575589076029</v>
      </c>
    </row>
    <row r="40" spans="1:12" x14ac:dyDescent="0.2">
      <c r="B40" t="s">
        <v>47</v>
      </c>
      <c r="H40" s="6">
        <f>(H25-H28)/H25</f>
        <v>0.24590393013100442</v>
      </c>
      <c r="I40" s="6"/>
      <c r="J40" s="6"/>
      <c r="K40" s="6"/>
      <c r="L40" s="6">
        <f>(L25-L28)/L25</f>
        <v>0.3690195861662337</v>
      </c>
    </row>
    <row r="41" spans="1:12" x14ac:dyDescent="0.2">
      <c r="B41" t="s">
        <v>48</v>
      </c>
      <c r="H41" s="6">
        <f>(H26-H29)/H26</f>
        <v>6.4597255155565081E-2</v>
      </c>
      <c r="I41" s="6"/>
      <c r="J41" s="6"/>
      <c r="K41" s="6"/>
      <c r="L41" s="6">
        <f>(L26-L29)/L26</f>
        <v>0.38909697233477791</v>
      </c>
    </row>
    <row r="43" spans="1:12" x14ac:dyDescent="0.2">
      <c r="B43" t="s">
        <v>29</v>
      </c>
    </row>
    <row r="46" spans="1:12" s="9" customFormat="1" x14ac:dyDescent="0.2">
      <c r="A46" s="17"/>
      <c r="B46" s="17" t="s">
        <v>23</v>
      </c>
      <c r="L46" s="9">
        <v>712.42499999999995</v>
      </c>
    </row>
    <row r="47" spans="1:12" s="9" customFormat="1" x14ac:dyDescent="0.2">
      <c r="A47" s="17"/>
      <c r="B47" s="17" t="s">
        <v>49</v>
      </c>
      <c r="L47" s="9">
        <v>423.81200000000001</v>
      </c>
    </row>
    <row r="48" spans="1:12" s="9" customFormat="1" x14ac:dyDescent="0.2">
      <c r="A48" s="17"/>
      <c r="B48" s="17" t="s">
        <v>50</v>
      </c>
      <c r="L48" s="9">
        <v>235.42099999999999</v>
      </c>
    </row>
    <row r="49" spans="1:12" s="9" customFormat="1" x14ac:dyDescent="0.2">
      <c r="A49" s="17"/>
      <c r="B49" s="17" t="s">
        <v>51</v>
      </c>
      <c r="L49" s="9">
        <v>649.85299999999995</v>
      </c>
    </row>
    <row r="50" spans="1:12" s="9" customFormat="1" x14ac:dyDescent="0.2">
      <c r="A50" s="17"/>
      <c r="B50" s="17" t="s">
        <v>52</v>
      </c>
      <c r="L50" s="9">
        <v>144.99700000000001</v>
      </c>
    </row>
    <row r="51" spans="1:12" s="9" customFormat="1" x14ac:dyDescent="0.2">
      <c r="A51" s="17"/>
      <c r="B51" s="17" t="s">
        <v>69</v>
      </c>
      <c r="L51" s="9">
        <v>0.14799999999999999</v>
      </c>
    </row>
    <row r="52" spans="1:12" s="9" customFormat="1" x14ac:dyDescent="0.2">
      <c r="A52" s="17"/>
      <c r="B52" s="17" t="s">
        <v>70</v>
      </c>
      <c r="L52" s="9">
        <v>17245.212</v>
      </c>
    </row>
    <row r="53" spans="1:12" s="9" customFormat="1" x14ac:dyDescent="0.2">
      <c r="A53" s="17"/>
      <c r="B53" s="17" t="s">
        <v>71</v>
      </c>
      <c r="L53" s="9">
        <v>61.4</v>
      </c>
    </row>
    <row r="54" spans="1:12" s="9" customFormat="1" x14ac:dyDescent="0.2">
      <c r="A54" s="17"/>
      <c r="B54" s="17" t="s">
        <v>53</v>
      </c>
      <c r="L54" s="9">
        <v>3886.0990000000002</v>
      </c>
    </row>
    <row r="55" spans="1:12" s="19" customFormat="1" x14ac:dyDescent="0.2">
      <c r="A55" s="18"/>
      <c r="B55" s="18" t="s">
        <v>67</v>
      </c>
      <c r="L55" s="19">
        <f>SUM(L46:L54)</f>
        <v>23359.366999999998</v>
      </c>
    </row>
    <row r="56" spans="1:12" s="9" customFormat="1" x14ac:dyDescent="0.2">
      <c r="A56" s="17"/>
      <c r="B56" s="17" t="s">
        <v>54</v>
      </c>
    </row>
    <row r="57" spans="1:12" s="9" customFormat="1" x14ac:dyDescent="0.2">
      <c r="A57" s="17"/>
      <c r="B57" s="17" t="s">
        <v>58</v>
      </c>
    </row>
    <row r="58" spans="1:12" s="9" customFormat="1" x14ac:dyDescent="0.2">
      <c r="A58" s="17"/>
      <c r="B58" s="17" t="s">
        <v>59</v>
      </c>
    </row>
    <row r="59" spans="1:12" s="9" customFormat="1" x14ac:dyDescent="0.2">
      <c r="A59" s="17"/>
      <c r="B59" s="17" t="s">
        <v>60</v>
      </c>
    </row>
    <row r="60" spans="1:12" s="9" customFormat="1" x14ac:dyDescent="0.2">
      <c r="A60" s="17"/>
      <c r="B60" s="17" t="s">
        <v>61</v>
      </c>
    </row>
    <row r="61" spans="1:12" s="9" customFormat="1" x14ac:dyDescent="0.2">
      <c r="A61" s="17"/>
      <c r="B61" s="17" t="s">
        <v>56</v>
      </c>
    </row>
    <row r="62" spans="1:12" s="9" customFormat="1" x14ac:dyDescent="0.2">
      <c r="A62" s="17"/>
      <c r="B62" s="17" t="s">
        <v>57</v>
      </c>
    </row>
    <row r="63" spans="1:12" s="9" customFormat="1" x14ac:dyDescent="0.2">
      <c r="A63" s="17"/>
      <c r="B63" s="17" t="s">
        <v>62</v>
      </c>
    </row>
    <row r="64" spans="1:12" s="9" customFormat="1" x14ac:dyDescent="0.2">
      <c r="A64" s="17"/>
      <c r="B64" s="17" t="s">
        <v>55</v>
      </c>
    </row>
    <row r="65" spans="1:2" s="9" customFormat="1" x14ac:dyDescent="0.2">
      <c r="A65" s="17"/>
      <c r="B65" s="17" t="s">
        <v>63</v>
      </c>
    </row>
    <row r="66" spans="1:2" s="9" customFormat="1" x14ac:dyDescent="0.2">
      <c r="A66" s="17"/>
      <c r="B66" s="17" t="s">
        <v>64</v>
      </c>
    </row>
    <row r="67" spans="1:2" s="9" customFormat="1" x14ac:dyDescent="0.2">
      <c r="A67" s="17"/>
      <c r="B67" s="17" t="s">
        <v>65</v>
      </c>
    </row>
    <row r="68" spans="1:2" s="9" customFormat="1" x14ac:dyDescent="0.2">
      <c r="A68" s="17"/>
      <c r="B68" s="17" t="s">
        <v>66</v>
      </c>
    </row>
    <row r="69" spans="1:2" s="9" customFormat="1" x14ac:dyDescent="0.2">
      <c r="A69" s="17"/>
      <c r="B69" s="17" t="s">
        <v>53</v>
      </c>
    </row>
    <row r="70" spans="1:2" s="9" customFormat="1" x14ac:dyDescent="0.2">
      <c r="A70" s="17"/>
      <c r="B70" s="17" t="s">
        <v>68</v>
      </c>
    </row>
  </sheetData>
  <hyperlinks>
    <hyperlink ref="A1" location="Main!A1" display="Main" xr:uid="{4933BCF2-F647-DA45-8D7A-10DB267589AC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Dillon Walton</dc:creator>
  <cp:lastModifiedBy>Dillon Walton</cp:lastModifiedBy>
  <dcterms:created xsi:type="dcterms:W3CDTF">2026-08-21T12:48:31Z</dcterms:created>
  <dcterms:modified xsi:type="dcterms:W3CDTF">2026-08-23T01:36:06Z</dcterms:modified>
</cp:coreProperties>
</file>