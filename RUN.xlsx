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color rgb="FF0563C1"/>
      <sz val="11"/>
      <u val="single"/>
    </font>
    <font>
      <name val="Aptos Narrow"/>
      <family val="2"/>
      <color rgb="FF4F81BD"/>
      <sz val="11"/>
      <u val="single"/>
      <scheme val="minor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2" fillId="0" borderId="0" pivotButton="0" quotePrefix="0" xfId="1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pivotButton="0" quotePrefix="0" xfId="1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25400</xdr:colOff>
      <xdr:row>0</xdr:row>
      <xdr:rowOff>63500</xdr:rowOff>
    </xdr:from>
    <xdr:to>
      <xdr:col>47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25400</xdr:colOff>
      <xdr:row>0</xdr:row>
      <xdr:rowOff>63500</xdr:rowOff>
    </xdr:from>
    <xdr:to>
      <xdr:col>68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69367/000156459015007967/run-10q_20150630.htm" TargetMode="External" Id="rId1" /><Relationship Type="http://schemas.openxmlformats.org/officeDocument/2006/relationships/hyperlink" Target="https://www.sec.gov/Archives/edgar/data/1469367/000156459015010675/run-10q_20150930.htm" TargetMode="External" Id="rId2" /><Relationship Type="http://schemas.openxmlformats.org/officeDocument/2006/relationships/hyperlink" Target="https://www.sec.gov/Archives/edgar/data/1469367/000156459016014482/run-10k_20151231.htm" TargetMode="External" Id="rId3" /><Relationship Type="http://schemas.openxmlformats.org/officeDocument/2006/relationships/hyperlink" Target="https://www.sec.gov/Archives/edgar/data/1469367/000156459016019375/run-10q_20160331.htm" TargetMode="External" Id="rId4" /><Relationship Type="http://schemas.openxmlformats.org/officeDocument/2006/relationships/hyperlink" Target="https://www.sec.gov/Archives/edgar/data/1469367/000156459016024098/run-10q_20160630.htm" TargetMode="External" Id="rId5" /><Relationship Type="http://schemas.openxmlformats.org/officeDocument/2006/relationships/hyperlink" Target="https://www.sec.gov/Archives/edgar/data/1469367/000156459016028935/run-10q_20160930.htm" TargetMode="External" Id="rId6" /><Relationship Type="http://schemas.openxmlformats.org/officeDocument/2006/relationships/hyperlink" Target="https://www.sec.gov/Archives/edgar/data/1469367/000156459017003704/run-10k_20161231.htm" TargetMode="External" Id="rId7" /><Relationship Type="http://schemas.openxmlformats.org/officeDocument/2006/relationships/hyperlink" Target="https://www.sec.gov/Archives/edgar/data/1469367/000156459017010326/run-10q_20170331.htm" TargetMode="External" Id="rId8" /><Relationship Type="http://schemas.openxmlformats.org/officeDocument/2006/relationships/hyperlink" Target="https://www.sec.gov/Archives/edgar/data/1469367/000162828017008210/sunrun10q2017q2.htm" TargetMode="External" Id="rId9" /><Relationship Type="http://schemas.openxmlformats.org/officeDocument/2006/relationships/hyperlink" Target="https://www.sec.gov/Archives/edgar/data/1469367/000146936717000022/sunrun10q2017q3.htm" TargetMode="External" Id="rId10" /><Relationship Type="http://schemas.openxmlformats.org/officeDocument/2006/relationships/hyperlink" Target="https://www.sec.gov/Archives/edgar/data/1469367/000146936718000031/sunrun10k2017.htm" TargetMode="External" Id="rId11" /><Relationship Type="http://schemas.openxmlformats.org/officeDocument/2006/relationships/hyperlink" Target="https://www.sec.gov/Archives/edgar/data/1469367/000146936718000054/sunrun10q2018q1.htm" TargetMode="External" Id="rId12" /><Relationship Type="http://schemas.openxmlformats.org/officeDocument/2006/relationships/hyperlink" Target="https://www.sec.gov/Archives/edgar/data/1469367/000146936718000071/sunrun10q2018q2.htm" TargetMode="External" Id="rId13" /><Relationship Type="http://schemas.openxmlformats.org/officeDocument/2006/relationships/hyperlink" Target="https://www.sec.gov/Archives/edgar/data/1469367/000146936718000086/sunrun10q2018q3.htm" TargetMode="External" Id="rId14" /><Relationship Type="http://schemas.openxmlformats.org/officeDocument/2006/relationships/hyperlink" Target="https://www.sec.gov/Archives/edgar/data/1469367/000146936719000041/sunrun10k2018.htm" TargetMode="External" Id="rId15" /><Relationship Type="http://schemas.openxmlformats.org/officeDocument/2006/relationships/hyperlink" Target="https://www.sec.gov/Archives/edgar/data/1469367/000146936719000094/sunrun10q2019q1.htm" TargetMode="External" Id="rId16" /><Relationship Type="http://schemas.openxmlformats.org/officeDocument/2006/relationships/hyperlink" Target="https://www.sec.gov/Archives/edgar/data/1469367/000146936719000126/sunrun10q2019q2.htm" TargetMode="External" Id="rId17" /><Relationship Type="http://schemas.openxmlformats.org/officeDocument/2006/relationships/hyperlink" Target="https://www.sec.gov/Archives/edgar/data/1469367/000146936719000181/sunrun10q2019q3.htm" TargetMode="External" Id="rId18" /><Relationship Type="http://schemas.openxmlformats.org/officeDocument/2006/relationships/hyperlink" Target="https://www.sec.gov/Archives/edgar/data/1469367/000146936720000061/sunrun10k2019.htm" TargetMode="External" Id="rId19" /><Relationship Type="http://schemas.openxmlformats.org/officeDocument/2006/relationships/hyperlink" Target="https://www.sec.gov/Archives/edgar/data/1469367/000146936720000107/run-20200331.htm" TargetMode="External" Id="rId20" /><Relationship Type="http://schemas.openxmlformats.org/officeDocument/2006/relationships/hyperlink" Target="https://www.sec.gov/Archives/edgar/data/1469367/000146936720000180/run-20200630.htm" TargetMode="External" Id="rId21" /><Relationship Type="http://schemas.openxmlformats.org/officeDocument/2006/relationships/hyperlink" Target="https://www.sec.gov/Archives/edgar/data/1469367/000146936720000231/run-20200930.htm" TargetMode="External" Id="rId22" /><Relationship Type="http://schemas.openxmlformats.org/officeDocument/2006/relationships/hyperlink" Target="https://www.sec.gov/Archives/edgar/data/1469367/000146936721000042/run-20201231.htm" TargetMode="External" Id="rId23" /><Relationship Type="http://schemas.openxmlformats.org/officeDocument/2006/relationships/hyperlink" Target="https://www.sec.gov/Archives/edgar/data/1469367/000146936721000114/run-20210331.htm" TargetMode="External" Id="rId24" /><Relationship Type="http://schemas.openxmlformats.org/officeDocument/2006/relationships/hyperlink" Target="https://www.sec.gov/Archives/edgar/data/1469367/000146936721000187/run-20210630.htm" TargetMode="External" Id="rId25" /><Relationship Type="http://schemas.openxmlformats.org/officeDocument/2006/relationships/hyperlink" Target="https://www.sec.gov/Archives/edgar/data/1469367/000146936721000237/run-20210930.htm" TargetMode="External" Id="rId26" /><Relationship Type="http://schemas.openxmlformats.org/officeDocument/2006/relationships/hyperlink" Target="https://www.sec.gov/Archives/edgar/data/1469367/000146936722000033/run-20211231.htm" TargetMode="External" Id="rId27" /><Relationship Type="http://schemas.openxmlformats.org/officeDocument/2006/relationships/hyperlink" Target="https://www.sec.gov/Archives/edgar/data/1469367/000146936722000078/run-20220331.htm" TargetMode="External" Id="rId28" /><Relationship Type="http://schemas.openxmlformats.org/officeDocument/2006/relationships/hyperlink" Target="https://www.sec.gov/Archives/edgar/data/1469367/000146936722000118/run-20220630.htm" TargetMode="External" Id="rId29" /><Relationship Type="http://schemas.openxmlformats.org/officeDocument/2006/relationships/hyperlink" Target="https://www.sec.gov/Archives/edgar/data/1469367/000146936722000159/run-20220930.htm" TargetMode="External" Id="rId30" /><Relationship Type="http://schemas.openxmlformats.org/officeDocument/2006/relationships/hyperlink" Target="https://www.sec.gov/Archives/edgar/data/1469367/000146936723000030/run-20221231.htm" TargetMode="External" Id="rId31" /><Relationship Type="http://schemas.openxmlformats.org/officeDocument/2006/relationships/hyperlink" Target="https://www.sec.gov/Archives/edgar/data/1469367/000146936723000118/run-20230331.htm" TargetMode="External" Id="rId32" /><Relationship Type="http://schemas.openxmlformats.org/officeDocument/2006/relationships/hyperlink" Target="https://www.sec.gov/Archives/edgar/data/1469367/000146936723000166/run-20230630.htm" TargetMode="External" Id="rId33" /><Relationship Type="http://schemas.openxmlformats.org/officeDocument/2006/relationships/hyperlink" Target="https://www.sec.gov/Archives/edgar/data/1469367/000146936723000202/run-20230930.htm" TargetMode="External" Id="rId34" /><Relationship Type="http://schemas.openxmlformats.org/officeDocument/2006/relationships/hyperlink" Target="https://www.sec.gov/Archives/edgar/data/1469367/000146936724000024/run-20231231.htm" TargetMode="External" Id="rId35" /><Relationship Type="http://schemas.openxmlformats.org/officeDocument/2006/relationships/hyperlink" Target="https://www.sec.gov/Archives/edgar/data/1469367/000146936724000092/run-20240331.htm" TargetMode="External" Id="rId36" /><Relationship Type="http://schemas.openxmlformats.org/officeDocument/2006/relationships/hyperlink" Target="https://www.sec.gov/Archives/edgar/data/1469367/000146936724000146/run-20240630.htm" TargetMode="External" Id="rId37" /><Relationship Type="http://schemas.openxmlformats.org/officeDocument/2006/relationships/hyperlink" Target="https://www.sec.gov/Archives/edgar/data/1469367/000146936724000199/run-20240930.htm" TargetMode="External" Id="rId38" /><Relationship Type="http://schemas.openxmlformats.org/officeDocument/2006/relationships/hyperlink" Target="https://www.sec.gov/Archives/edgar/data/1469367/000146936725000039/run-20241231.htm" TargetMode="External" Id="rId39" /><Relationship Type="http://schemas.openxmlformats.org/officeDocument/2006/relationships/hyperlink" Target="https://www.sec.gov/Archives/edgar/data/1469367/000146936725000104/run-20250331.htm" TargetMode="External" Id="rId40" /><Relationship Type="http://schemas.openxmlformats.org/officeDocument/2006/relationships/hyperlink" Target="https://www.sec.gov/Archives/edgar/data/1469367/000146936725000148/run-20250630.htm" TargetMode="External" Id="rId41" /><Relationship Type="http://schemas.openxmlformats.org/officeDocument/2006/relationships/hyperlink" Target="https://www.sec.gov/Archives/edgar/data/1469367/000162828025050191/run-20250930.htm" TargetMode="External" Id="rId42" /><Relationship Type="http://schemas.openxmlformats.org/officeDocument/2006/relationships/hyperlink" Target="https://www.sec.gov/Archives/edgar/data/1469367/000162828026012289/run-20251231.htm" TargetMode="External" Id="rId43" /><Relationship Type="http://schemas.openxmlformats.org/officeDocument/2006/relationships/hyperlink" Target="https://www.sec.gov/Archives/edgar/data/1469367/000162828026031271/run-20260331.htm" TargetMode="External" Id="rId44" /><Relationship Type="http://schemas.openxmlformats.org/officeDocument/2006/relationships/hyperlink" Target="https://www.sec.gov/Archives/edgar/data/1469367/000162828026053366/run-20260630.htm" TargetMode="External" Id="rId45" /><Relationship Type="http://schemas.openxmlformats.org/officeDocument/2006/relationships/hyperlink" Target="https://www.sec.gov/Archives/edgar/data/1469367/000156459015007862/run-ex991_14.htm" TargetMode="External" Id="rId46" /><Relationship Type="http://schemas.openxmlformats.org/officeDocument/2006/relationships/hyperlink" Target="https://www.sec.gov/Archives/edgar/data/1469367/000156459015010626/run-ex991_16.htm" TargetMode="External" Id="rId47" /><Relationship Type="http://schemas.openxmlformats.org/officeDocument/2006/relationships/hyperlink" Target="https://www.sec.gov/Archives/edgar/data/1469367/000156459016014431/run-ex991_59.htm" TargetMode="External" Id="rId48" /><Relationship Type="http://schemas.openxmlformats.org/officeDocument/2006/relationships/hyperlink" Target="https://www.sec.gov/Archives/edgar/data/1469367/000156459016019242/run-ex991_6.htm" TargetMode="External" Id="rId49" /><Relationship Type="http://schemas.openxmlformats.org/officeDocument/2006/relationships/hyperlink" Target="https://www.sec.gov/Archives/edgar/data/1469367/000156459016024063/run-ex991_14.htm" TargetMode="External" Id="rId50" /><Relationship Type="http://schemas.openxmlformats.org/officeDocument/2006/relationships/hyperlink" Target="https://www.sec.gov/Archives/edgar/data/1469367/000156459016028931/run-ex991_64.htm" TargetMode="External" Id="rId51" /><Relationship Type="http://schemas.openxmlformats.org/officeDocument/2006/relationships/hyperlink" Target="https://www.sec.gov/Archives/edgar/data/1469367/000156459017003695/run-ex991_14.htm" TargetMode="External" Id="rId52" /><Relationship Type="http://schemas.openxmlformats.org/officeDocument/2006/relationships/hyperlink" Target="https://www.sec.gov/Archives/edgar/data/1469367/000156459017010238/run-8k_20170510.htm" TargetMode="External" Id="rId53" /><Relationship Type="http://schemas.openxmlformats.org/officeDocument/2006/relationships/hyperlink" Target="https://www.sec.gov/Archives/edgar/data/1469367/000162828017008209/exhibit991q217.htm" TargetMode="External" Id="rId54" /><Relationship Type="http://schemas.openxmlformats.org/officeDocument/2006/relationships/hyperlink" Target="https://www.sec.gov/Archives/edgar/data/1469367/000146936717000020/exhibit991q317.htm" TargetMode="External" Id="rId55" /><Relationship Type="http://schemas.openxmlformats.org/officeDocument/2006/relationships/hyperlink" Target="https://www.sec.gov/Archives/edgar/data/1469367/000146936718000029/q4178-kexhibit991.htm" TargetMode="External" Id="rId56" /><Relationship Type="http://schemas.openxmlformats.org/officeDocument/2006/relationships/hyperlink" Target="https://www.sec.gov/Archives/edgar/data/1469367/000146936718000053/exhibit991q118.htm" TargetMode="External" Id="rId57" /><Relationship Type="http://schemas.openxmlformats.org/officeDocument/2006/relationships/hyperlink" Target="https://www.sec.gov/Archives/edgar/data/1469367/000146936718000070/exhibit991q218.htm" TargetMode="External" Id="rId58" /><Relationship Type="http://schemas.openxmlformats.org/officeDocument/2006/relationships/hyperlink" Target="https://www.sec.gov/Archives/edgar/data/1469367/000146936718000085/exhibit991q318.htm" TargetMode="External" Id="rId59" /><Relationship Type="http://schemas.openxmlformats.org/officeDocument/2006/relationships/hyperlink" Target="https://www.sec.gov/Archives/edgar/data/1469367/000146936719000039/q4188-kexhibit991.htm" TargetMode="External" Id="rId60" /><Relationship Type="http://schemas.openxmlformats.org/officeDocument/2006/relationships/hyperlink" Target="https://www.sec.gov/Archives/edgar/data/1469367/000146936719000093/exhibit991q119.htm" TargetMode="External" Id="rId61" /><Relationship Type="http://schemas.openxmlformats.org/officeDocument/2006/relationships/hyperlink" Target="https://www.sec.gov/Archives/edgar/data/1469367/000146936719000125/exhibit991q219.htm" TargetMode="External" Id="rId62" /><Relationship Type="http://schemas.openxmlformats.org/officeDocument/2006/relationships/hyperlink" Target="https://www.sec.gov/Archives/edgar/data/1469367/000146936719000180/exhibit991q319.htm" TargetMode="External" Id="rId63" /><Relationship Type="http://schemas.openxmlformats.org/officeDocument/2006/relationships/hyperlink" Target="https://www.sec.gov/Archives/edgar/data/1469367/000146936720000060/q4198-kexhibit991.htm" TargetMode="External" Id="rId64" /><Relationship Type="http://schemas.openxmlformats.org/officeDocument/2006/relationships/hyperlink" Target="https://www.sec.gov/Archives/edgar/data/1469367/000146936720000103/exhibit991q120ng.htm" TargetMode="External" Id="rId65" /><Relationship Type="http://schemas.openxmlformats.org/officeDocument/2006/relationships/hyperlink" Target="https://www.sec.gov/Archives/edgar/data/1469367/000146936720000178/exhibit991q220ng.htm" TargetMode="External" Id="rId66" /><Relationship Type="http://schemas.openxmlformats.org/officeDocument/2006/relationships/hyperlink" Target="https://www.sec.gov/Archives/edgar/data/1469367/000146936720000229/exhibit991q320ng.htm" TargetMode="External" Id="rId67" /><Relationship Type="http://schemas.openxmlformats.org/officeDocument/2006/relationships/hyperlink" Target="https://www.sec.gov/Archives/edgar/data/1469367/000146936721000041/q4208-kexhibit991.htm" TargetMode="External" Id="rId68" /><Relationship Type="http://schemas.openxmlformats.org/officeDocument/2006/relationships/hyperlink" Target="https://www.sec.gov/Archives/edgar/data/1469367/000146936721000113/exhibit991q121ng.htm" TargetMode="External" Id="rId69" /><Relationship Type="http://schemas.openxmlformats.org/officeDocument/2006/relationships/hyperlink" Target="https://www.sec.gov/Archives/edgar/data/1469367/000146936721000186/exhibit991q221ng.htm" TargetMode="External" Id="rId70" /><Relationship Type="http://schemas.openxmlformats.org/officeDocument/2006/relationships/hyperlink" Target="https://www.sec.gov/Archives/edgar/data/1469367/000146936721000236/exhibit991q321.htm" TargetMode="External" Id="rId71" /><Relationship Type="http://schemas.openxmlformats.org/officeDocument/2006/relationships/hyperlink" Target="https://www.sec.gov/Archives/edgar/data/1469367/000146936722000032/q4218-kexhibit991.htm" TargetMode="External" Id="rId72" /><Relationship Type="http://schemas.openxmlformats.org/officeDocument/2006/relationships/hyperlink" Target="https://www.sec.gov/Archives/edgar/data/1469367/000146936722000077/exhibit991q122.htm" TargetMode="External" Id="rId73" /><Relationship Type="http://schemas.openxmlformats.org/officeDocument/2006/relationships/hyperlink" Target="https://www.sec.gov/Archives/edgar/data/1469367/000146936722000117/exhibit991q222.htm" TargetMode="External" Id="rId74" /><Relationship Type="http://schemas.openxmlformats.org/officeDocument/2006/relationships/hyperlink" Target="https://www.sec.gov/Archives/edgar/data/1469367/000146936722000158/exhibit991q322.htm" TargetMode="External" Id="rId75" /><Relationship Type="http://schemas.openxmlformats.org/officeDocument/2006/relationships/hyperlink" Target="https://www.sec.gov/Archives/edgar/data/1469367/000146936723000027/q4228-kexhibit991.htm" TargetMode="External" Id="rId76" /><Relationship Type="http://schemas.openxmlformats.org/officeDocument/2006/relationships/hyperlink" Target="https://www.sec.gov/Archives/edgar/data/1469367/000146936723000117/exhibit991q123.htm" TargetMode="External" Id="rId77" /><Relationship Type="http://schemas.openxmlformats.org/officeDocument/2006/relationships/hyperlink" Target="https://www.sec.gov/Archives/edgar/data/1469367/000146936723000165/exhibit991q223.htm" TargetMode="External" Id="rId78" /><Relationship Type="http://schemas.openxmlformats.org/officeDocument/2006/relationships/hyperlink" Target="https://www.sec.gov/Archives/edgar/data/1469367/000146936723000201/exhibit991q323.htm" TargetMode="External" Id="rId79" /><Relationship Type="http://schemas.openxmlformats.org/officeDocument/2006/relationships/hyperlink" Target="https://www.sec.gov/Archives/edgar/data/1469367/000146936724000022/q4238-kexhibit991.htm" TargetMode="External" Id="rId80" /><Relationship Type="http://schemas.openxmlformats.org/officeDocument/2006/relationships/hyperlink" Target="https://www.sec.gov/Archives/edgar/data/1469367/000146936724000091/exhibit991q124.htm" TargetMode="External" Id="rId81" /><Relationship Type="http://schemas.openxmlformats.org/officeDocument/2006/relationships/hyperlink" Target="https://www.sec.gov/Archives/edgar/data/1469367/000146936724000144/exhibit991q224.htm" TargetMode="External" Id="rId82" /><Relationship Type="http://schemas.openxmlformats.org/officeDocument/2006/relationships/hyperlink" Target="https://www.sec.gov/Archives/edgar/data/1469367/000146936724000198/exhibit991q324.htm" TargetMode="External" Id="rId83" /><Relationship Type="http://schemas.openxmlformats.org/officeDocument/2006/relationships/hyperlink" Target="https://www.sec.gov/Archives/edgar/data/1469367/000146936725000037/q4248-kexhibit991.htm" TargetMode="External" Id="rId84" /><Relationship Type="http://schemas.openxmlformats.org/officeDocument/2006/relationships/hyperlink" Target="https://www.sec.gov/Archives/edgar/data/1469367/000146936725000103/exhibit991q125.htm" TargetMode="External" Id="rId85" /><Relationship Type="http://schemas.openxmlformats.org/officeDocument/2006/relationships/hyperlink" Target="https://www.sec.gov/Archives/edgar/data/1469367/000146936725000147/exhibit991q225.htm" TargetMode="External" Id="rId86" /><Relationship Type="http://schemas.openxmlformats.org/officeDocument/2006/relationships/hyperlink" Target="https://www.sec.gov/Archives/edgar/data/1469367/000162828025050170/exhibit991q325.htm" TargetMode="External" Id="rId87" /><Relationship Type="http://schemas.openxmlformats.org/officeDocument/2006/relationships/hyperlink" Target="https://www.sec.gov/Archives/edgar/data/1469367/000162828026012266/q4258-kexhibit991.htm" TargetMode="External" Id="rId88" /><Relationship Type="http://schemas.openxmlformats.org/officeDocument/2006/relationships/hyperlink" Target="https://www.sec.gov/Archives/edgar/data/1469367/000162828026031259/exhibit991q126.htm" TargetMode="External" Id="rId89" /><Relationship Type="http://schemas.openxmlformats.org/officeDocument/2006/relationships/hyperlink" Target="https://www.sec.gov/Archives/edgar/data/1469367/000162828026053349/exhibit991q226.htm" TargetMode="External" Id="rId90" /><Relationship Id="rId9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S10"/>
  <sheetViews>
    <sheetView workbookViewId="0">
      <selection activeCell="B6" sqref="B6"/>
    </sheetView>
  </sheetViews>
  <sheetFormatPr baseColWidth="8" defaultRowHeight="15"/>
  <cols>
    <col width="15.42578125" bestFit="1" customWidth="1" min="19" max="19"/>
  </cols>
  <sheetData>
    <row r="4">
      <c r="B4" t="inlineStr">
        <is>
          <t>Restricted cash - contractually / legally commited to a purpose (debt convenants, etc)</t>
        </is>
      </c>
    </row>
    <row r="5">
      <c r="B5" t="inlineStr">
        <is>
          <t>Net loss attributable to noncontrolling interests and redeemable noncontrolling interests is financing structure (tax equity)</t>
        </is>
      </c>
      <c r="R5" t="inlineStr">
        <is>
          <t>Price</t>
        </is>
      </c>
      <c r="S5" s="1" t="n">
        <v>9.26</v>
      </c>
    </row>
    <row r="6">
      <c r="R6" t="inlineStr">
        <is>
          <t>Shares</t>
        </is>
      </c>
      <c r="S6" s="2" t="n">
        <v>240846</v>
      </c>
    </row>
    <row r="7">
      <c r="R7" t="inlineStr">
        <is>
          <t>Mkt Cap</t>
        </is>
      </c>
      <c r="S7" s="2">
        <f>S6*S5</f>
        <v/>
      </c>
    </row>
    <row r="8">
      <c r="R8" t="inlineStr">
        <is>
          <t>Cash</t>
        </is>
      </c>
      <c r="S8">
        <f>712+235</f>
        <v/>
      </c>
    </row>
    <row r="9">
      <c r="R9" t="inlineStr">
        <is>
          <t>Debt</t>
        </is>
      </c>
      <c r="S9">
        <f>321+49+444+154+188</f>
        <v/>
      </c>
    </row>
    <row r="10">
      <c r="R10" t="inlineStr">
        <is>
          <t>EV</t>
        </is>
      </c>
      <c r="S10" s="2">
        <f>S7-S8+S9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6"/>
  <sheetViews>
    <sheetView tabSelected="1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BO2" sqref="BO2"/>
    </sheetView>
  </sheetViews>
  <sheetFormatPr baseColWidth="8" defaultRowHeight="15"/>
  <cols>
    <col width="38.42578125" bestFit="1" customWidth="1" min="2" max="2"/>
    <col width="38.42578125" customWidth="1" min="3" max="37"/>
    <col width="9.140625" customWidth="1" style="3" min="38" max="53"/>
  </cols>
  <sheetData>
    <row r="1">
      <c r="A1" s="5" t="inlineStr">
        <is>
          <t>Main</t>
        </is>
      </c>
      <c r="C1" s="10" t="inlineStr">
        <is>
          <t>10-Q</t>
        </is>
      </c>
      <c r="D1" s="10" t="inlineStr">
        <is>
          <t>10-Q</t>
        </is>
      </c>
      <c r="E1" s="10" t="inlineStr">
        <is>
          <t>10-K</t>
        </is>
      </c>
      <c r="F1" s="10" t="inlineStr">
        <is>
          <t>10-Q</t>
        </is>
      </c>
      <c r="G1" s="10" t="inlineStr">
        <is>
          <t>10-Q</t>
        </is>
      </c>
      <c r="H1" s="10" t="inlineStr">
        <is>
          <t>10-Q</t>
        </is>
      </c>
      <c r="I1" s="10" t="inlineStr">
        <is>
          <t>10-K</t>
        </is>
      </c>
      <c r="J1" s="10" t="inlineStr">
        <is>
          <t>10-Q</t>
        </is>
      </c>
      <c r="K1" s="10" t="inlineStr">
        <is>
          <t>10-Q</t>
        </is>
      </c>
      <c r="L1" s="10" t="inlineStr">
        <is>
          <t>10-Q</t>
        </is>
      </c>
      <c r="M1" s="10" t="inlineStr">
        <is>
          <t>10-K</t>
        </is>
      </c>
      <c r="N1" s="10" t="inlineStr">
        <is>
          <t>10-Q</t>
        </is>
      </c>
      <c r="O1" s="10" t="inlineStr">
        <is>
          <t>10-Q</t>
        </is>
      </c>
      <c r="P1" s="10" t="inlineStr">
        <is>
          <t>10-Q</t>
        </is>
      </c>
      <c r="Q1" s="10" t="inlineStr">
        <is>
          <t>10-K</t>
        </is>
      </c>
      <c r="R1" s="10" t="inlineStr">
        <is>
          <t>10-Q</t>
        </is>
      </c>
      <c r="S1" s="10" t="inlineStr">
        <is>
          <t>10-Q</t>
        </is>
      </c>
      <c r="T1" s="10" t="inlineStr">
        <is>
          <t>10-Q</t>
        </is>
      </c>
      <c r="U1" s="10" t="inlineStr">
        <is>
          <t>10-K</t>
        </is>
      </c>
      <c r="V1" s="10" t="inlineStr">
        <is>
          <t>10-Q</t>
        </is>
      </c>
      <c r="W1" s="10" t="inlineStr">
        <is>
          <t>10-Q</t>
        </is>
      </c>
      <c r="X1" s="10" t="inlineStr">
        <is>
          <t>10-Q</t>
        </is>
      </c>
      <c r="Y1" s="10" t="inlineStr">
        <is>
          <t>10-K</t>
        </is>
      </c>
      <c r="Z1" s="10" t="inlineStr">
        <is>
          <t>10-Q</t>
        </is>
      </c>
      <c r="AA1" s="10" t="inlineStr">
        <is>
          <t>10-Q</t>
        </is>
      </c>
      <c r="AB1" s="10" t="inlineStr">
        <is>
          <t>10-Q</t>
        </is>
      </c>
      <c r="AC1" s="10" t="inlineStr">
        <is>
          <t>10-K</t>
        </is>
      </c>
      <c r="AD1" s="10" t="inlineStr">
        <is>
          <t>10-Q</t>
        </is>
      </c>
      <c r="AE1" s="10" t="inlineStr">
        <is>
          <t>10-Q</t>
        </is>
      </c>
      <c r="AF1" s="10" t="inlineStr">
        <is>
          <t>10-Q</t>
        </is>
      </c>
      <c r="AG1" s="10" t="inlineStr">
        <is>
          <t>10-K</t>
        </is>
      </c>
      <c r="AH1" s="10" t="inlineStr">
        <is>
          <t>10-Q</t>
        </is>
      </c>
      <c r="AI1" s="10" t="inlineStr">
        <is>
          <t>10-Q</t>
        </is>
      </c>
      <c r="AJ1" s="10" t="inlineStr">
        <is>
          <t>10-Q</t>
        </is>
      </c>
      <c r="AK1" s="10" t="inlineStr">
        <is>
          <t>10-K</t>
        </is>
      </c>
      <c r="AL1" s="10" t="inlineStr">
        <is>
          <t>10-Q</t>
        </is>
      </c>
      <c r="AM1" s="10" t="inlineStr">
        <is>
          <t>10-Q</t>
        </is>
      </c>
      <c r="AN1" s="10" t="inlineStr">
        <is>
          <t>10-Q</t>
        </is>
      </c>
      <c r="AO1" s="10" t="inlineStr">
        <is>
          <t>10-K</t>
        </is>
      </c>
      <c r="AP1" s="10" t="inlineStr">
        <is>
          <t>10-Q</t>
        </is>
      </c>
      <c r="AQ1" s="10" t="inlineStr">
        <is>
          <t>10-Q</t>
        </is>
      </c>
      <c r="AR1" s="10" t="inlineStr">
        <is>
          <t>10-Q</t>
        </is>
      </c>
      <c r="AS1" s="10" t="inlineStr">
        <is>
          <t>10-K</t>
        </is>
      </c>
      <c r="AT1" s="10" t="inlineStr">
        <is>
          <t>10-Q</t>
        </is>
      </c>
      <c r="AU1" s="10" t="inlineStr">
        <is>
          <t>10-Q</t>
        </is>
      </c>
    </row>
    <row r="2">
      <c r="C2" s="9" t="inlineStr">
        <is>
          <t>Q22015</t>
        </is>
      </c>
      <c r="D2" s="9" t="inlineStr">
        <is>
          <t>Q32015</t>
        </is>
      </c>
      <c r="E2" s="9" t="inlineStr">
        <is>
          <t>Q42015</t>
        </is>
      </c>
      <c r="F2" s="9" t="inlineStr">
        <is>
          <t>Q12016</t>
        </is>
      </c>
      <c r="G2" s="9" t="inlineStr">
        <is>
          <t>Q22016</t>
        </is>
      </c>
      <c r="H2" s="9" t="inlineStr">
        <is>
          <t>Q32016</t>
        </is>
      </c>
      <c r="I2" s="9" t="inlineStr">
        <is>
          <t>Q42016</t>
        </is>
      </c>
      <c r="J2" s="9" t="inlineStr">
        <is>
          <t>Q12017</t>
        </is>
      </c>
      <c r="K2" s="9" t="inlineStr">
        <is>
          <t>Q22017</t>
        </is>
      </c>
      <c r="L2" s="9" t="inlineStr">
        <is>
          <t>Q32017</t>
        </is>
      </c>
      <c r="M2" s="9" t="inlineStr">
        <is>
          <t>Q42017</t>
        </is>
      </c>
      <c r="N2" s="9" t="inlineStr">
        <is>
          <t>Q12018</t>
        </is>
      </c>
      <c r="O2" s="9" t="inlineStr">
        <is>
          <t>Q22018</t>
        </is>
      </c>
      <c r="P2" s="9" t="inlineStr">
        <is>
          <t>Q32018</t>
        </is>
      </c>
      <c r="Q2" s="9" t="inlineStr">
        <is>
          <t>Q42018</t>
        </is>
      </c>
      <c r="R2" s="9" t="inlineStr">
        <is>
          <t>Q12019</t>
        </is>
      </c>
      <c r="S2" s="9" t="inlineStr">
        <is>
          <t>Q22019</t>
        </is>
      </c>
      <c r="T2" s="9" t="inlineStr">
        <is>
          <t>Q32019</t>
        </is>
      </c>
      <c r="U2" s="9" t="inlineStr">
        <is>
          <t>Q42019</t>
        </is>
      </c>
      <c r="V2" s="9" t="inlineStr">
        <is>
          <t>Q12020</t>
        </is>
      </c>
      <c r="W2" s="9" t="inlineStr">
        <is>
          <t>Q22020</t>
        </is>
      </c>
      <c r="X2" s="9" t="inlineStr">
        <is>
          <t>Q32020</t>
        </is>
      </c>
      <c r="Y2" s="9" t="inlineStr">
        <is>
          <t>Q42020</t>
        </is>
      </c>
      <c r="Z2" s="9" t="inlineStr">
        <is>
          <t>Q12021</t>
        </is>
      </c>
      <c r="AA2" s="9" t="inlineStr">
        <is>
          <t>Q22021</t>
        </is>
      </c>
      <c r="AB2" s="9" t="inlineStr">
        <is>
          <t>Q32021</t>
        </is>
      </c>
      <c r="AC2" s="9" t="inlineStr">
        <is>
          <t>Q42021</t>
        </is>
      </c>
      <c r="AD2" s="9" t="inlineStr">
        <is>
          <t>Q12022</t>
        </is>
      </c>
      <c r="AE2" s="9" t="inlineStr">
        <is>
          <t>Q22022</t>
        </is>
      </c>
      <c r="AF2" s="9" t="inlineStr">
        <is>
          <t>Q32022</t>
        </is>
      </c>
      <c r="AG2" s="9" t="inlineStr">
        <is>
          <t>Q42022</t>
        </is>
      </c>
      <c r="AH2" s="9" t="inlineStr">
        <is>
          <t>Q12023</t>
        </is>
      </c>
      <c r="AI2" s="9" t="inlineStr">
        <is>
          <t>Q22023</t>
        </is>
      </c>
      <c r="AJ2" s="9" t="inlineStr">
        <is>
          <t>Q32023</t>
        </is>
      </c>
      <c r="AK2" s="9" t="inlineStr">
        <is>
          <t>Q42023</t>
        </is>
      </c>
      <c r="AL2" s="8" t="inlineStr">
        <is>
          <t>Q12024</t>
        </is>
      </c>
      <c r="AM2" s="8" t="inlineStr">
        <is>
          <t>Q22024</t>
        </is>
      </c>
      <c r="AN2" s="8" t="inlineStr">
        <is>
          <t>Q32024</t>
        </is>
      </c>
      <c r="AO2" s="8" t="inlineStr">
        <is>
          <t>Q42024</t>
        </is>
      </c>
      <c r="AP2" s="8" t="inlineStr">
        <is>
          <t>Q12025</t>
        </is>
      </c>
      <c r="AQ2" s="8" t="inlineStr">
        <is>
          <t>Q22025</t>
        </is>
      </c>
      <c r="AR2" s="8" t="inlineStr">
        <is>
          <t>Q32025</t>
        </is>
      </c>
      <c r="AS2" s="8" t="inlineStr">
        <is>
          <t>Q42025</t>
        </is>
      </c>
      <c r="AT2" s="8" t="inlineStr">
        <is>
          <t>Q12026</t>
        </is>
      </c>
      <c r="AU2" s="8" t="inlineStr">
        <is>
          <t>Q22026</t>
        </is>
      </c>
      <c r="AV2" s="3" t="inlineStr">
        <is>
          <t>Q32026</t>
        </is>
      </c>
      <c r="AW2" s="3" t="inlineStr">
        <is>
          <t>Q42026</t>
        </is>
      </c>
      <c r="AX2" s="3" t="inlineStr">
        <is>
          <t>Q12027</t>
        </is>
      </c>
      <c r="AY2" s="3" t="inlineStr">
        <is>
          <t>Q22027</t>
        </is>
      </c>
      <c r="AZ2" s="3" t="inlineStr">
        <is>
          <t>Q32027</t>
        </is>
      </c>
      <c r="BA2" s="3" t="inlineStr">
        <is>
          <t>Q42027</t>
        </is>
      </c>
      <c r="BF2" t="n">
        <v>2015</v>
      </c>
      <c r="BG2" t="n">
        <v>2016</v>
      </c>
      <c r="BH2" t="n">
        <v>2017</v>
      </c>
      <c r="BI2" t="n">
        <v>2018</v>
      </c>
      <c r="BJ2" t="n">
        <v>2019</v>
      </c>
      <c r="BK2" t="n">
        <v>2020</v>
      </c>
      <c r="BL2" t="n">
        <v>2021</v>
      </c>
      <c r="BM2" t="n">
        <v>2022</v>
      </c>
      <c r="BN2" t="n">
        <v>2023</v>
      </c>
      <c r="BO2" t="n">
        <v>2024</v>
      </c>
      <c r="BP2" t="n">
        <v>2025</v>
      </c>
      <c r="BQ2" t="n">
        <v>2026</v>
      </c>
      <c r="BR2" t="n">
        <v>2027</v>
      </c>
      <c r="BS2" t="n">
        <v>2028</v>
      </c>
      <c r="BT2" t="n">
        <v>2029</v>
      </c>
      <c r="BU2" t="n">
        <v>2030</v>
      </c>
      <c r="BV2" t="n">
        <v>2031</v>
      </c>
      <c r="BW2" t="n">
        <v>2032</v>
      </c>
      <c r="BX2" t="n">
        <v>2033</v>
      </c>
      <c r="BY2" t="n">
        <v>2034</v>
      </c>
      <c r="BZ2" t="n">
        <v>2035</v>
      </c>
    </row>
    <row r="3">
      <c r="B3" t="inlineStr">
        <is>
          <t>Customer agreements and incentives</t>
        </is>
      </c>
      <c r="AP3" s="3">
        <f>861-AQ3</f>
        <v/>
      </c>
      <c r="AQ3" s="3" t="n">
        <v>458</v>
      </c>
      <c r="AS3" s="3" t="n">
        <v>544</v>
      </c>
      <c r="AT3" s="3">
        <f>1011-AU3</f>
        <v/>
      </c>
      <c r="AU3" s="3" t="n">
        <v>544</v>
      </c>
    </row>
    <row r="4">
      <c r="B4" t="inlineStr">
        <is>
          <t>Energy systems and product sales</t>
        </is>
      </c>
      <c r="AP4" s="3">
        <f>212-AQ4</f>
        <v/>
      </c>
      <c r="AQ4" s="3" t="n">
        <v>111</v>
      </c>
      <c r="AS4" s="3" t="n">
        <v>326</v>
      </c>
      <c r="AT4" s="3">
        <f>581-AU4</f>
        <v/>
      </c>
      <c r="AU4" s="3" t="n">
        <v>326</v>
      </c>
    </row>
    <row r="5">
      <c r="B5" s="6" t="inlineStr">
        <is>
          <t>Revenue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7" t="n"/>
      <c r="AM5" s="7" t="n"/>
      <c r="AN5" s="7" t="n"/>
      <c r="AO5" s="7" t="n"/>
      <c r="AP5" s="7">
        <f>SUM(AP3:AP4)</f>
        <v/>
      </c>
      <c r="AQ5" s="7">
        <f>SUM(AQ3:AQ4)</f>
        <v/>
      </c>
      <c r="AR5" s="7" t="n"/>
      <c r="AS5" s="7">
        <f>SUM(AS3:AS4)</f>
        <v/>
      </c>
      <c r="AT5" s="7">
        <f>SUM(AT3:AT4)</f>
        <v/>
      </c>
      <c r="AU5" s="7">
        <f>SUM(AU3:AU4)</f>
        <v/>
      </c>
      <c r="AV5" s="7" t="n"/>
      <c r="AW5" s="7" t="n"/>
      <c r="AX5" s="7" t="n"/>
      <c r="AY5" s="7" t="n"/>
      <c r="AZ5" s="7" t="n"/>
      <c r="BA5" s="7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</row>
    <row r="6">
      <c r="B6" t="inlineStr">
        <is>
          <t>Customer agreements and incentives cost</t>
        </is>
      </c>
      <c r="AP6" s="3">
        <f>654-AQ6</f>
        <v/>
      </c>
      <c r="AQ6" s="3" t="n">
        <v>345</v>
      </c>
      <c r="AS6" s="3" t="n">
        <v>342</v>
      </c>
      <c r="AT6" s="3">
        <f>657-AU6</f>
        <v/>
      </c>
      <c r="AU6" s="3" t="n">
        <v>342</v>
      </c>
    </row>
    <row r="7">
      <c r="B7" t="inlineStr">
        <is>
          <t>Energy systems and product sales cost</t>
        </is>
      </c>
      <c r="AP7" s="3">
        <f>201-AQ7</f>
        <v/>
      </c>
      <c r="AQ7" s="3" t="n">
        <v>104</v>
      </c>
      <c r="AS7" s="3" t="n">
        <v>199</v>
      </c>
      <c r="AT7" s="3">
        <f>387-AU7</f>
        <v/>
      </c>
      <c r="AU7" s="3" t="n">
        <v>199</v>
      </c>
    </row>
    <row r="8">
      <c r="B8" t="inlineStr">
        <is>
          <t>S&amp;M</t>
        </is>
      </c>
      <c r="AP8" s="3">
        <f>298-AQ8</f>
        <v/>
      </c>
      <c r="AQ8" s="3" t="n">
        <v>152</v>
      </c>
      <c r="AS8" s="3" t="n">
        <v>191</v>
      </c>
      <c r="AT8" s="3">
        <f>369-AU8</f>
        <v/>
      </c>
      <c r="AU8" s="3" t="n">
        <v>191</v>
      </c>
    </row>
    <row r="9">
      <c r="B9" t="inlineStr">
        <is>
          <t>R&amp;D</t>
        </is>
      </c>
      <c r="AP9" s="3">
        <f>18-AQ9</f>
        <v/>
      </c>
      <c r="AQ9" s="3" t="n">
        <v>8</v>
      </c>
      <c r="AS9" s="3" t="n">
        <v>10</v>
      </c>
      <c r="AT9" s="3">
        <f>20-AU9</f>
        <v/>
      </c>
      <c r="AU9" s="3" t="n">
        <v>10</v>
      </c>
    </row>
    <row r="10">
      <c r="B10" t="inlineStr">
        <is>
          <t>G&amp;A</t>
        </is>
      </c>
      <c r="AP10" s="3">
        <f>129-AQ10</f>
        <v/>
      </c>
      <c r="AQ10" s="3" t="n">
        <v>72</v>
      </c>
      <c r="AS10" s="3" t="n">
        <v>93</v>
      </c>
      <c r="AT10" s="3">
        <f>167-AU10</f>
        <v/>
      </c>
      <c r="AU10" s="3" t="n">
        <v>93</v>
      </c>
    </row>
    <row r="11">
      <c r="B11" t="inlineStr">
        <is>
          <t>Operating Expenses</t>
        </is>
      </c>
      <c r="AP11" s="3">
        <f>SUM(AP6:AP10)</f>
        <v/>
      </c>
      <c r="AQ11" s="3">
        <f>SUM(AQ6:AQ10)</f>
        <v/>
      </c>
      <c r="AR11" s="3">
        <f>SUM(AR6:AR10)</f>
        <v/>
      </c>
      <c r="AS11" s="3">
        <f>SUM(AS6:AS10)</f>
        <v/>
      </c>
      <c r="AT11" s="3">
        <f>SUM(AT6:AT10)</f>
        <v/>
      </c>
      <c r="AU11" s="3">
        <f>SUM(AU6:AU10)</f>
        <v/>
      </c>
    </row>
    <row r="12">
      <c r="B12" s="6" t="inlineStr">
        <is>
          <t>Operating Income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7" t="n"/>
      <c r="AM12" s="7" t="n"/>
      <c r="AN12" s="7" t="n"/>
      <c r="AO12" s="7" t="n"/>
      <c r="AP12" s="7">
        <f>AP5-AP11</f>
        <v/>
      </c>
      <c r="AQ12" s="7">
        <f>AQ5-AQ11</f>
        <v/>
      </c>
      <c r="AR12" s="7">
        <f>AR5-AR11</f>
        <v/>
      </c>
      <c r="AS12" s="7">
        <f>AS5-AS11</f>
        <v/>
      </c>
      <c r="AT12" s="7">
        <f>AT5-AT11</f>
        <v/>
      </c>
      <c r="AU12" s="7">
        <f>AU5-AU11</f>
        <v/>
      </c>
    </row>
    <row r="13">
      <c r="B13" t="inlineStr">
        <is>
          <t>Interest</t>
        </is>
      </c>
      <c r="AP13" s="3">
        <f>-475-AQ13</f>
        <v/>
      </c>
      <c r="AQ13" s="3" t="n">
        <v>-247</v>
      </c>
      <c r="AS13" s="3" t="n">
        <v>-264</v>
      </c>
      <c r="AT13" s="3">
        <f>-528-AU13</f>
        <v/>
      </c>
      <c r="AU13" s="3" t="n">
        <v>-264</v>
      </c>
    </row>
    <row r="14">
      <c r="B14" t="inlineStr">
        <is>
          <t>Other income</t>
        </is>
      </c>
      <c r="AP14" s="3">
        <f>-60-AQ14</f>
        <v/>
      </c>
      <c r="AQ14" s="3" t="n">
        <v>-15</v>
      </c>
      <c r="AS14" s="3" t="n">
        <v>17</v>
      </c>
      <c r="AT14" s="3">
        <f>35-AU14</f>
        <v/>
      </c>
      <c r="AU14" s="3" t="n">
        <v>17</v>
      </c>
    </row>
    <row r="15">
      <c r="B15" s="6" t="inlineStr">
        <is>
          <t>EBT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7" t="n"/>
      <c r="AM15" s="7" t="n"/>
      <c r="AN15" s="7" t="n"/>
      <c r="AO15" s="7" t="n"/>
      <c r="AP15" s="7">
        <f>+AP12+AP13+AP14</f>
        <v/>
      </c>
      <c r="AQ15" s="7">
        <f>+AQ12+AQ13+AQ14</f>
        <v/>
      </c>
      <c r="AR15" s="7">
        <f>+AR12+AR13+AR14</f>
        <v/>
      </c>
      <c r="AS15" s="7">
        <f>+AS12+AS13+AS14</f>
        <v/>
      </c>
      <c r="AT15" s="7">
        <f>+AT12+AT13+AT14</f>
        <v/>
      </c>
      <c r="AU15" s="7">
        <f>+AU12+AU13+AU14</f>
        <v/>
      </c>
      <c r="AV15" s="7" t="n"/>
      <c r="AW15" s="7" t="n"/>
      <c r="AX15" s="7" t="n"/>
      <c r="AY15" s="7" t="n"/>
      <c r="AZ15" s="7" t="n"/>
      <c r="BA15" s="7" t="n"/>
    </row>
    <row r="16">
      <c r="B16" t="inlineStr">
        <is>
          <t>Tax</t>
        </is>
      </c>
      <c r="AP16" s="3">
        <f>-205-AQ16</f>
        <v/>
      </c>
      <c r="AQ16" s="3" t="n">
        <v>-95</v>
      </c>
      <c r="AS16" s="3" t="n">
        <v>-4</v>
      </c>
      <c r="AT16" s="3">
        <f>-3-AU16</f>
        <v/>
      </c>
      <c r="AU16" s="3" t="n">
        <v>-4</v>
      </c>
    </row>
    <row r="17">
      <c r="B17" t="inlineStr">
        <is>
          <t>Earnings</t>
        </is>
      </c>
      <c r="AP17" s="3">
        <f>+AP15-AP16</f>
        <v/>
      </c>
      <c r="AQ17" s="3">
        <f>+AQ15-AQ16</f>
        <v/>
      </c>
      <c r="AR17" s="3">
        <f>+AR15-AR16</f>
        <v/>
      </c>
      <c r="AS17" s="3">
        <f>+AS15-AS16</f>
        <v/>
      </c>
      <c r="AT17" s="3">
        <f>+AT15-AT16</f>
        <v/>
      </c>
      <c r="AU17" s="3">
        <f>+AU15-AU16</f>
        <v/>
      </c>
    </row>
    <row r="22">
      <c r="B22" t="inlineStr">
        <is>
          <t>Revenue y/y</t>
        </is>
      </c>
      <c r="AT22" s="4">
        <f>AT5/AP5-1</f>
        <v/>
      </c>
      <c r="AU22" s="4">
        <f>AU5/AQ5-1</f>
        <v/>
      </c>
    </row>
    <row r="23">
      <c r="B23" t="inlineStr">
        <is>
          <t>Operating margin</t>
        </is>
      </c>
      <c r="AL23" s="4">
        <f>AL12/AL5</f>
        <v/>
      </c>
      <c r="AM23" s="4">
        <f>AM12/AM5</f>
        <v/>
      </c>
      <c r="AN23" s="4">
        <f>AN12/AN5</f>
        <v/>
      </c>
      <c r="AO23" s="4">
        <f>AO12/AO5</f>
        <v/>
      </c>
      <c r="AP23" s="4">
        <f>AP12/AP5</f>
        <v/>
      </c>
      <c r="AQ23" s="4">
        <f>AQ12/AQ5</f>
        <v/>
      </c>
      <c r="AR23" s="4">
        <f>AR12/AR5</f>
        <v/>
      </c>
      <c r="AS23" s="4">
        <f>AS12/AS5</f>
        <v/>
      </c>
      <c r="AT23" s="4">
        <f>AT12/AT5</f>
        <v/>
      </c>
      <c r="AU23" s="4">
        <f>AU12/AU5</f>
        <v/>
      </c>
    </row>
    <row r="24">
      <c r="B24" t="inlineStr">
        <is>
          <t>Shares outstanding</t>
        </is>
      </c>
      <c r="AT24" s="3">
        <f>+(227*2)-AU24</f>
        <v/>
      </c>
      <c r="AU24" s="3" t="n">
        <v>229</v>
      </c>
    </row>
    <row r="26">
      <c r="B26" t="inlineStr">
        <is>
          <t>Tax rate</t>
        </is>
      </c>
      <c r="AL26" s="4">
        <f>AL16/AL15</f>
        <v/>
      </c>
      <c r="AM26" s="4">
        <f>AM16/AM15</f>
        <v/>
      </c>
      <c r="AN26" s="4">
        <f>AN16/AN15</f>
        <v/>
      </c>
      <c r="AO26" s="4">
        <f>AO16/AO15</f>
        <v/>
      </c>
      <c r="AP26" s="4">
        <f>AP16/AP15</f>
        <v/>
      </c>
      <c r="AQ26" s="4">
        <f>AQ16/AQ15</f>
        <v/>
      </c>
      <c r="AR26" s="4">
        <f>AR16/AR15</f>
        <v/>
      </c>
      <c r="AS26" s="4">
        <f>AS16/AS15</f>
        <v/>
      </c>
      <c r="AT26" s="4">
        <f>AT16/AT15</f>
        <v/>
      </c>
      <c r="AU26" s="4">
        <f>AU16/AU15</f>
        <v/>
      </c>
    </row>
  </sheetData>
  <hyperlinks>
    <hyperlink ref="A1" location="Main!A1" display="Main"/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C2" display="https://www.sec.gov/Archives/edgar/data/1469367/000156459015007862/run-ex991_14.htm" r:id="rId46"/>
    <hyperlink xmlns:r="http://schemas.openxmlformats.org/officeDocument/2006/relationships" ref="D2" display="https://www.sec.gov/Archives/edgar/data/1469367/000156459015010626/run-ex991_16.htm" r:id="rId47"/>
    <hyperlink xmlns:r="http://schemas.openxmlformats.org/officeDocument/2006/relationships" ref="E2" display="https://www.sec.gov/Archives/edgar/data/1469367/000156459016014431/run-ex991_59.htm" r:id="rId48"/>
    <hyperlink xmlns:r="http://schemas.openxmlformats.org/officeDocument/2006/relationships" ref="F2" display="https://www.sec.gov/Archives/edgar/data/1469367/000156459016019242/run-ex991_6.htm" r:id="rId49"/>
    <hyperlink xmlns:r="http://schemas.openxmlformats.org/officeDocument/2006/relationships" ref="G2" display="https://www.sec.gov/Archives/edgar/data/1469367/000156459016024063/run-ex991_14.htm" r:id="rId50"/>
    <hyperlink xmlns:r="http://schemas.openxmlformats.org/officeDocument/2006/relationships" ref="H2" display="https://www.sec.gov/Archives/edgar/data/1469367/000156459016028931/run-ex991_64.htm" r:id="rId51"/>
    <hyperlink xmlns:r="http://schemas.openxmlformats.org/officeDocument/2006/relationships" ref="I2" display="https://www.sec.gov/Archives/edgar/data/1469367/000156459017003695/run-ex991_14.htm" r:id="rId52"/>
    <hyperlink xmlns:r="http://schemas.openxmlformats.org/officeDocument/2006/relationships" ref="J2" display="https://www.sec.gov/Archives/edgar/data/1469367/000156459017010238/run-8k_20170510.htm" r:id="rId53"/>
    <hyperlink xmlns:r="http://schemas.openxmlformats.org/officeDocument/2006/relationships" ref="K2" display="https://www.sec.gov/Archives/edgar/data/1469367/000162828017008209/exhibit991q217.htm" r:id="rId54"/>
    <hyperlink xmlns:r="http://schemas.openxmlformats.org/officeDocument/2006/relationships" ref="L2" display="https://www.sec.gov/Archives/edgar/data/1469367/000146936717000020/exhibit991q317.htm" r:id="rId55"/>
    <hyperlink xmlns:r="http://schemas.openxmlformats.org/officeDocument/2006/relationships" ref="M2" display="https://www.sec.gov/Archives/edgar/data/1469367/000146936718000029/q4178-kexhibit991.htm" r:id="rId56"/>
    <hyperlink xmlns:r="http://schemas.openxmlformats.org/officeDocument/2006/relationships" ref="N2" display="https://www.sec.gov/Archives/edgar/data/1469367/000146936718000053/exhibit991q118.htm" r:id="rId57"/>
    <hyperlink xmlns:r="http://schemas.openxmlformats.org/officeDocument/2006/relationships" ref="O2" display="https://www.sec.gov/Archives/edgar/data/1469367/000146936718000070/exhibit991q218.htm" r:id="rId58"/>
    <hyperlink xmlns:r="http://schemas.openxmlformats.org/officeDocument/2006/relationships" ref="P2" display="https://www.sec.gov/Archives/edgar/data/1469367/000146936718000085/exhibit991q318.htm" r:id="rId59"/>
    <hyperlink xmlns:r="http://schemas.openxmlformats.org/officeDocument/2006/relationships" ref="Q2" display="https://www.sec.gov/Archives/edgar/data/1469367/000146936719000039/q4188-kexhibit991.htm" r:id="rId60"/>
    <hyperlink xmlns:r="http://schemas.openxmlformats.org/officeDocument/2006/relationships" ref="R2" display="https://www.sec.gov/Archives/edgar/data/1469367/000146936719000093/exhibit991q119.htm" r:id="rId61"/>
    <hyperlink xmlns:r="http://schemas.openxmlformats.org/officeDocument/2006/relationships" ref="S2" display="https://www.sec.gov/Archives/edgar/data/1469367/000146936719000125/exhibit991q219.htm" r:id="rId62"/>
    <hyperlink xmlns:r="http://schemas.openxmlformats.org/officeDocument/2006/relationships" ref="T2" display="https://www.sec.gov/Archives/edgar/data/1469367/000146936719000180/exhibit991q319.htm" r:id="rId63"/>
    <hyperlink xmlns:r="http://schemas.openxmlformats.org/officeDocument/2006/relationships" ref="U2" display="https://www.sec.gov/Archives/edgar/data/1469367/000146936720000060/q4198-kexhibit991.htm" r:id="rId64"/>
    <hyperlink xmlns:r="http://schemas.openxmlformats.org/officeDocument/2006/relationships" ref="V2" display="https://www.sec.gov/Archives/edgar/data/1469367/000146936720000103/exhibit991q120ng.htm" r:id="rId65"/>
    <hyperlink xmlns:r="http://schemas.openxmlformats.org/officeDocument/2006/relationships" ref="W2" display="https://www.sec.gov/Archives/edgar/data/1469367/000146936720000178/exhibit991q220ng.htm" r:id="rId66"/>
    <hyperlink xmlns:r="http://schemas.openxmlformats.org/officeDocument/2006/relationships" ref="X2" display="https://www.sec.gov/Archives/edgar/data/1469367/000146936720000229/exhibit991q320ng.htm" r:id="rId67"/>
    <hyperlink xmlns:r="http://schemas.openxmlformats.org/officeDocument/2006/relationships" ref="Y2" display="https://www.sec.gov/Archives/edgar/data/1469367/000146936721000041/q4208-kexhibit991.htm" r:id="rId68"/>
    <hyperlink xmlns:r="http://schemas.openxmlformats.org/officeDocument/2006/relationships" ref="Z2" display="https://www.sec.gov/Archives/edgar/data/1469367/000146936721000113/exhibit991q121ng.htm" r:id="rId69"/>
    <hyperlink xmlns:r="http://schemas.openxmlformats.org/officeDocument/2006/relationships" ref="AA2" display="https://www.sec.gov/Archives/edgar/data/1469367/000146936721000186/exhibit991q221ng.htm" r:id="rId70"/>
    <hyperlink xmlns:r="http://schemas.openxmlformats.org/officeDocument/2006/relationships" ref="AB2" display="https://www.sec.gov/Archives/edgar/data/1469367/000146936721000236/exhibit991q321.htm" r:id="rId71"/>
    <hyperlink xmlns:r="http://schemas.openxmlformats.org/officeDocument/2006/relationships" ref="AC2" display="https://www.sec.gov/Archives/edgar/data/1469367/000146936722000032/q4218-kexhibit991.htm" r:id="rId72"/>
    <hyperlink xmlns:r="http://schemas.openxmlformats.org/officeDocument/2006/relationships" ref="AD2" display="https://www.sec.gov/Archives/edgar/data/1469367/000146936722000077/exhibit991q122.htm" r:id="rId73"/>
    <hyperlink xmlns:r="http://schemas.openxmlformats.org/officeDocument/2006/relationships" ref="AE2" display="https://www.sec.gov/Archives/edgar/data/1469367/000146936722000117/exhibit991q222.htm" r:id="rId74"/>
    <hyperlink xmlns:r="http://schemas.openxmlformats.org/officeDocument/2006/relationships" ref="AF2" display="https://www.sec.gov/Archives/edgar/data/1469367/000146936722000158/exhibit991q322.htm" r:id="rId75"/>
    <hyperlink xmlns:r="http://schemas.openxmlformats.org/officeDocument/2006/relationships" ref="AG2" display="https://www.sec.gov/Archives/edgar/data/1469367/000146936723000027/q4228-kexhibit991.htm" r:id="rId76"/>
    <hyperlink xmlns:r="http://schemas.openxmlformats.org/officeDocument/2006/relationships" ref="AH2" display="https://www.sec.gov/Archives/edgar/data/1469367/000146936723000117/exhibit991q123.htm" r:id="rId77"/>
    <hyperlink xmlns:r="http://schemas.openxmlformats.org/officeDocument/2006/relationships" ref="AI2" display="https://www.sec.gov/Archives/edgar/data/1469367/000146936723000165/exhibit991q223.htm" r:id="rId78"/>
    <hyperlink xmlns:r="http://schemas.openxmlformats.org/officeDocument/2006/relationships" ref="AJ2" display="https://www.sec.gov/Archives/edgar/data/1469367/000146936723000201/exhibit991q323.htm" r:id="rId79"/>
    <hyperlink xmlns:r="http://schemas.openxmlformats.org/officeDocument/2006/relationships" ref="AK2" display="https://www.sec.gov/Archives/edgar/data/1469367/000146936724000022/q4238-kexhibit991.htm" r:id="rId80"/>
    <hyperlink xmlns:r="http://schemas.openxmlformats.org/officeDocument/2006/relationships" ref="AL2" r:id="rId81"/>
    <hyperlink xmlns:r="http://schemas.openxmlformats.org/officeDocument/2006/relationships" ref="AM2" r:id="rId82"/>
    <hyperlink xmlns:r="http://schemas.openxmlformats.org/officeDocument/2006/relationships" ref="AN2" r:id="rId83"/>
    <hyperlink xmlns:r="http://schemas.openxmlformats.org/officeDocument/2006/relationships" ref="AO2" r:id="rId84"/>
    <hyperlink xmlns:r="http://schemas.openxmlformats.org/officeDocument/2006/relationships" ref="AP2" r:id="rId85"/>
    <hyperlink xmlns:r="http://schemas.openxmlformats.org/officeDocument/2006/relationships" ref="AQ2" r:id="rId86"/>
    <hyperlink xmlns:r="http://schemas.openxmlformats.org/officeDocument/2006/relationships" ref="AR2" r:id="rId87"/>
    <hyperlink xmlns:r="http://schemas.openxmlformats.org/officeDocument/2006/relationships" ref="AS2" r:id="rId88"/>
    <hyperlink xmlns:r="http://schemas.openxmlformats.org/officeDocument/2006/relationships" ref="AT2" r:id="rId89"/>
    <hyperlink xmlns:r="http://schemas.openxmlformats.org/officeDocument/2006/relationships" ref="AU2" r:id="rId90"/>
  </hyperlinks>
  <pageMargins left="0.7" right="0.7" top="0.75" bottom="0.75" header="0.3" footer="0.3"/>
  <drawing xmlns:r="http://schemas.openxmlformats.org/officeDocument/2006/relationships" r:id="rId9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2026-08-19T13:38:23Z</dcterms:created>
  <dcterms:modified xsi:type="dcterms:W3CDTF">2026-09-16T18:05:21Z</dcterms:modified>
  <cp:lastModifiedBy>Dillon Walton</cp:lastModifiedBy>
</cp:coreProperties>
</file>