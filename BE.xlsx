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  <Override PartName="/xl/comments1.xml" ContentType="application/vnd.openxmlformats-officedocument.drawing+xml"/>
  <Override PartName="/xl/comments2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persons/person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760" windowWidth="26580" windowHeight="195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91029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VAE Ventures</author>
  </authors>
  <commentList>
    <comment ref="D3" authorId="0" shapeId="0" xr:uid="{ADE44D27-8ED5-8546-9775-6A086F0F5ABA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High temperature solid oxide fuel cell (fuel -&gt; electriicity)</t>
        </r>
      </text>
    </comment>
    <comment ref="K6" authorId="0" shapeId="0" xr:uid="{B5D4356B-75F9-B34D-8DB5-2815F3145C0D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Investments in unconsolidated affiliates...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 Walton</author>
    <author>VAE Ventures</author>
  </authors>
  <commentList>
    <comment ref="B8" authorId="0" shapeId="0" xr:uid="{5F610A5F-D63B-214C-A148-F86F272D8AFC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Out of backlog -&gt; into production, producing for 24 hrs</t>
        </r>
      </text>
    </comment>
    <comment ref="B18" authorId="1" shapeId="0" xr:uid="{A9D2441D-108E-2747-91C5-0397C0B969E2}">
      <text>
        <r>
          <rPr>
            <b/>
            <sz val="10"/>
            <color rgb="FF000000"/>
            <rFont val="Tahoma"/>
            <family val="2"/>
          </rPr>
          <t>VAE Ventures: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Began operations in 2018</t>
        </r>
      </text>
    </comment>
  </commentList>
</comments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563C1"/>
      <sz val="12"/>
      <u val="single"/>
      <scheme val="minor"/>
    </font>
    <font>
      <name val="Aptos Narrow"/>
      <family val="2"/>
      <b val="1"/>
      <color rgb="FFFFFFFF"/>
      <sz val="12"/>
      <scheme val="minor"/>
    </font>
    <font>
      <name val="Aptos Narrow"/>
      <color rgb="FF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6" fillId="0" borderId="0" pivotButton="0" quotePrefix="0" xfId="1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VAE Ventures</author>
  </authors>
  <commentList>
    <comment ref="D3" authorId="0" shapeId="0">
      <text>
        <t>VAE Ventures:
High temperature solid oxide fuel cell (fuel -&gt; electriicity)</t>
      </text>
    </comment>
    <comment ref="K6" authorId="0" shapeId="0">
      <text>
        <t>VAE Ventures:
Investments in unconsolidated affiliates...</t>
      </text>
    </comment>
  </commentList>
</comments>
</file>

<file path=xl/comments/comment2.xml><?xml version="1.0" encoding="utf-8"?>
<comments xmlns="http://schemas.openxmlformats.org/spreadsheetml/2006/main">
  <authors>
    <author>Dillon Walton</author>
    <author>VAE Ventures</author>
  </authors>
  <commentList>
    <comment ref="B8" authorId="0" shapeId="0">
      <text>
        <t>Dillon Walton:
Out of backlog -&gt; into production, producing for 24 hrs</t>
      </text>
    </comment>
    <comment ref="B18" authorId="1" shapeId="0">
      <text>
        <t>VAE Ventures:
Began operations in 2018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0</xdr:row>
      <xdr:rowOff>114300</xdr:rowOff>
    </xdr:from>
    <xdr:to>
      <xdr:col>35</xdr:col>
      <xdr:colOff>25400</xdr:colOff>
      <xdr:row>81</xdr:row>
      <xdr:rowOff>139700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24FF4BD-3A17-5991-8733-E085913DD518}"/>
            </a:ext>
          </a:extLst>
        </xdr:cNvPr>
        <xdr:cNvCxnSpPr/>
      </xdr:nvCxnSpPr>
      <xdr:spPr>
        <a:xfrm>
          <a:off x="9105900" y="114300"/>
          <a:ext cx="0" cy="7137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4703/000115752318001784/a51850494ex99_1.htm" TargetMode="External" Id="rId1" /><Relationship Type="http://schemas.openxmlformats.org/officeDocument/2006/relationships/hyperlink" Target="https://www.sec.gov/Archives/edgar/data/1664703/000162828024046303/ex991_q32024financialresul.htm" TargetMode="External" Id="rId2" /><Relationship Type="http://schemas.openxmlformats.org/officeDocument/2006/relationships/hyperlink" Target="https://www.sec.gov/Archives/edgar/data/1664703/000162828025008626/ex991_q42024financialresul.htm" TargetMode="External" Id="rId3" /><Relationship Type="http://schemas.openxmlformats.org/officeDocument/2006/relationships/hyperlink" Target="https://www.sec.gov/Archives/edgar/data/1664703/000166470319000010/pressreleasedatedasofmay.htm" TargetMode="External" Id="rId4" /><Relationship Type="http://schemas.openxmlformats.org/officeDocument/2006/relationships/hyperlink" Target="https://www.sec.gov/Archives/edgar/data/1664703/000166470319000020/bloomenergyq219sharehold.htm" TargetMode="External" Id="rId5" /><Relationship Type="http://schemas.openxmlformats.org/officeDocument/2006/relationships/hyperlink" Target="https://www.sec.gov/Archives/edgar/data/1664703/000162828024046303/ex991_q32024financialresul.htm" TargetMode="External" Id="rId6" /><Relationship Type="http://schemas.openxmlformats.org/officeDocument/2006/relationships/hyperlink" Target="https://www.sec.gov/Archives/edgar/data/1664703/000162828025008626/ex991_q42024financialresul.htm" TargetMode="External" Id="rId7" /><Relationship Type="http://schemas.openxmlformats.org/officeDocument/2006/relationships/hyperlink" Target="https://www.sec.gov/Archives/edgar/data/1664703/000166470320000036/ex991bloomenergyq120shar.htm" TargetMode="External" Id="rId8" /><Relationship Type="http://schemas.openxmlformats.org/officeDocument/2006/relationships/hyperlink" Target="https://www.sec.gov/Archives/edgar/data/1664703/000166470320000051/bloompressreleasedated.htm" TargetMode="External" Id="rId9" /><Relationship Type="http://schemas.openxmlformats.org/officeDocument/2006/relationships/hyperlink" Target="https://www.sec.gov/Archives/edgar/data/1664703/000162828024046303/ex991_q32024financialresul.htm" TargetMode="External" Id="rId10" /><Relationship Type="http://schemas.openxmlformats.org/officeDocument/2006/relationships/hyperlink" Target="https://www.sec.gov/Archives/edgar/data/1664703/000162828025008626/ex991_q42024financialresul.htm" TargetMode="External" Id="rId11" /><Relationship Type="http://schemas.openxmlformats.org/officeDocument/2006/relationships/hyperlink" Target="https://www.sec.gov/Archives/edgar/data/1664703/000166470321000041/ex991be1q21financialresults.htm" TargetMode="External" Id="rId12" /><Relationship Type="http://schemas.openxmlformats.org/officeDocument/2006/relationships/hyperlink" Target="https://www.sec.gov/Archives/edgar/data/1664703/000166470321000130/ex991be2q21financialresults.htm" TargetMode="External" Id="rId13" /><Relationship Type="http://schemas.openxmlformats.org/officeDocument/2006/relationships/hyperlink" Target="https://www.sec.gov/Archives/edgar/data/1664703/000162828024046303/ex991_q32024financialresul.htm" TargetMode="External" Id="rId14" /><Relationship Type="http://schemas.openxmlformats.org/officeDocument/2006/relationships/hyperlink" Target="https://www.sec.gov/Archives/edgar/data/1664703/000162828025008626/ex991_q42024financialresul.htm" TargetMode="External" Id="rId15" /><Relationship Type="http://schemas.openxmlformats.org/officeDocument/2006/relationships/hyperlink" Target="https://www.sec.gov/Archives/edgar/data/1664703/000166470322000056/ex991_1q2022financialresul.htm" TargetMode="External" Id="rId16" /><Relationship Type="http://schemas.openxmlformats.org/officeDocument/2006/relationships/hyperlink" Target="https://www.sec.gov/Archives/edgar/data/1664703/000166470322000067/ex991_q22022financialresul.htm" TargetMode="External" Id="rId17" /><Relationship Type="http://schemas.openxmlformats.org/officeDocument/2006/relationships/hyperlink" Target="https://www.sec.gov/Archives/edgar/data/1664703/000162828024046303/ex991_q32024financialresul.htm" TargetMode="External" Id="rId18" /><Relationship Type="http://schemas.openxmlformats.org/officeDocument/2006/relationships/hyperlink" Target="https://www.sec.gov/Archives/edgar/data/1664703/000162828025008626/ex991_q42024financialresul.htm" TargetMode="External" Id="rId19" /><Relationship Type="http://schemas.openxmlformats.org/officeDocument/2006/relationships/hyperlink" Target="https://www.sec.gov/Archives/edgar/data/1664703/000162828023016807/ex991_q12023financialresul.htm" TargetMode="External" Id="rId20" /><Relationship Type="http://schemas.openxmlformats.org/officeDocument/2006/relationships/hyperlink" Target="https://www.sec.gov/Archives/edgar/data/1664703/000162828023027206/ex991_q22023financialresul.htm" TargetMode="External" Id="rId21" /><Relationship Type="http://schemas.openxmlformats.org/officeDocument/2006/relationships/hyperlink" Target="https://www.sec.gov/Archives/edgar/data/1664703/000162828023037826/ex991_q32023financialresul.htm" TargetMode="External" Id="rId22" /><Relationship Type="http://schemas.openxmlformats.org/officeDocument/2006/relationships/hyperlink" Target="https://www.sec.gov/Archives/edgar/data/1664703/000162828024005031/ex991_q42023financialresul.htm" TargetMode="External" Id="rId23" /><Relationship Type="http://schemas.openxmlformats.org/officeDocument/2006/relationships/hyperlink" Target="https://www.sec.gov/Archives/edgar/data/1664703/000162828024022195/ex991_q12024financialresul.htm" TargetMode="External" Id="rId24" /><Relationship Type="http://schemas.openxmlformats.org/officeDocument/2006/relationships/hyperlink" Target="https://www.sec.gov/Archives/edgar/data/1664703/000162828024036108/ex991_q22024financialresul.htm" TargetMode="External" Id="rId25" /><Relationship Type="http://schemas.openxmlformats.org/officeDocument/2006/relationships/hyperlink" Target="https://www.sec.gov/Archives/edgar/data/1664703/000162828024046303/ex991_q32024financialresul.htm" TargetMode="External" Id="rId26" /><Relationship Type="http://schemas.openxmlformats.org/officeDocument/2006/relationships/hyperlink" Target="https://www.sec.gov/Archives/edgar/data/1664703/000162828025008626/ex991_q42024financialresul.htm" TargetMode="External" Id="rId27" /><Relationship Type="http://schemas.openxmlformats.org/officeDocument/2006/relationships/hyperlink" Target="https://www.sec.gov/Archives/edgar/data/1664703/000162828025021092/ex991_q12025financialresul.htm" TargetMode="External" Id="rId28" /><Relationship Type="http://schemas.openxmlformats.org/officeDocument/2006/relationships/hyperlink" Target="https://www.sec.gov/Archives/edgar/data/1664703/000162828025036998/ex991_q22025financialresul.htm" TargetMode="External" Id="rId29" /><Relationship Type="http://schemas.openxmlformats.org/officeDocument/2006/relationships/hyperlink" Target="https://www.sec.gov/Archives/edgar/data/1664703/000162828025046745/ex991_q32025financialresul.htm" TargetMode="External" Id="rId30" /><Relationship Type="http://schemas.openxmlformats.org/officeDocument/2006/relationships/hyperlink" Target="https://www.sec.gov/Archives/edgar/data/1664703/000162828026005798/ex991_q42025financialresul.htm" TargetMode="External" Id="rId31" /><Relationship Type="http://schemas.openxmlformats.org/officeDocument/2006/relationships/hyperlink" Target="https://www.sec.gov/Archives/edgar/data/1664703/000162828026027913/ex991_q126financialresults.htm" TargetMode="External" Id="rId32" /><Relationship Type="http://schemas.openxmlformats.org/officeDocument/2006/relationships/hyperlink" Target="https://www.sec.gov/Archives/edgar/data/1664703/000162828026050150/ex991_q226financialresults.htm" TargetMode="External" Id="rId3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Relationship Id="rId3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36"/>
  <sheetViews>
    <sheetView workbookViewId="0">
      <selection activeCell="E33" sqref="E33"/>
    </sheetView>
  </sheetViews>
  <sheetFormatPr baseColWidth="10" defaultRowHeight="16" outlineLevelCol="0"/>
  <cols>
    <col width="32.1640625" bestFit="1" customWidth="1" min="5" max="5"/>
    <col width="28.6640625" customWidth="1" min="6" max="6"/>
  </cols>
  <sheetData>
    <row r="3">
      <c r="D3" s="3" t="inlineStr">
        <is>
          <t>Bloom Energy Server Fuel cell system</t>
        </is>
      </c>
      <c r="E3" t="inlineStr">
        <is>
          <t>Generation</t>
        </is>
      </c>
      <c r="F3" t="inlineStr">
        <is>
          <t>50kW, 100kW</t>
        </is>
      </c>
      <c r="J3" t="inlineStr">
        <is>
          <t>Price</t>
        </is>
      </c>
      <c r="K3" t="n">
        <v>204.02</v>
      </c>
    </row>
    <row r="4">
      <c r="D4" t="inlineStr">
        <is>
          <t>Bloom Electrolyzer</t>
        </is>
      </c>
      <c r="E4" t="inlineStr">
        <is>
          <t>Producing hydrogen</t>
        </is>
      </c>
      <c r="J4" t="inlineStr">
        <is>
          <t>S / O</t>
        </is>
      </c>
      <c r="K4" s="1" t="n">
        <v>294527.346</v>
      </c>
      <c r="L4" t="inlineStr">
        <is>
          <t>Q226</t>
        </is>
      </c>
    </row>
    <row r="5">
      <c r="J5" t="inlineStr">
        <is>
          <t>Mkt Cap</t>
        </is>
      </c>
      <c r="K5" s="1">
        <f>K4*K3</f>
        <v/>
      </c>
    </row>
    <row r="6">
      <c r="J6" t="inlineStr">
        <is>
          <t>Cash</t>
        </is>
      </c>
      <c r="K6" s="1">
        <f>2666.859+28.09</f>
        <v/>
      </c>
      <c r="L6" t="inlineStr">
        <is>
          <t>Q226</t>
        </is>
      </c>
    </row>
    <row r="7">
      <c r="J7" t="inlineStr">
        <is>
          <t>Debt</t>
        </is>
      </c>
      <c r="K7" s="1">
        <f>4.686+2470.704</f>
        <v/>
      </c>
      <c r="L7" t="inlineStr">
        <is>
          <t>Q226</t>
        </is>
      </c>
    </row>
    <row r="8">
      <c r="J8" t="inlineStr">
        <is>
          <t>EV</t>
        </is>
      </c>
      <c r="K8" s="1">
        <f>K5-K6+K7</f>
        <v/>
      </c>
    </row>
    <row r="11">
      <c r="D11" t="inlineStr">
        <is>
          <t>KR Sridhar</t>
        </is>
      </c>
      <c r="E11" t="inlineStr">
        <is>
          <t>CEO / Founder</t>
        </is>
      </c>
    </row>
    <row r="12">
      <c r="D12" t="inlineStr">
        <is>
          <t>Randy Furr</t>
        </is>
      </c>
      <c r="E12" t="inlineStr">
        <is>
          <t>CFO</t>
        </is>
      </c>
    </row>
    <row r="14">
      <c r="B14" t="n">
        <v>2018</v>
      </c>
      <c r="D14" t="inlineStr">
        <is>
          <t>Kelly Ayotte</t>
        </is>
      </c>
      <c r="E14" t="inlineStr">
        <is>
          <t>Board member</t>
        </is>
      </c>
    </row>
    <row r="15">
      <c r="D15" t="inlineStr">
        <is>
          <t>John Chambers</t>
        </is>
      </c>
      <c r="E15" t="inlineStr">
        <is>
          <t>Board member</t>
        </is>
      </c>
    </row>
    <row r="25">
      <c r="D25" s="7" t="n">
        <v>2001</v>
      </c>
      <c r="E25" t="inlineStr">
        <is>
          <t>Founded</t>
        </is>
      </c>
    </row>
    <row r="26">
      <c r="D26" s="7" t="n">
        <v>2006</v>
      </c>
      <c r="E26" t="inlineStr">
        <is>
          <t>First field trial deployed</t>
        </is>
      </c>
    </row>
    <row r="27">
      <c r="D27" s="7" t="n">
        <v>2008</v>
      </c>
      <c r="E27" t="inlineStr">
        <is>
          <t>Commercial launch</t>
        </is>
      </c>
    </row>
    <row r="28">
      <c r="D28" s="7" t="n">
        <v>2011</v>
      </c>
      <c r="E28" t="inlineStr">
        <is>
          <t>First microgrid online</t>
        </is>
      </c>
    </row>
    <row r="29">
      <c r="D29" s="7" t="n">
        <v>2012</v>
      </c>
      <c r="E29" t="inlineStr">
        <is>
          <t>US Manu Expansion</t>
        </is>
      </c>
    </row>
    <row r="30">
      <c r="D30" s="7" t="n">
        <v>2013</v>
      </c>
      <c r="E30" t="inlineStr">
        <is>
          <t>Global expansion (Japan)</t>
        </is>
      </c>
    </row>
    <row r="31">
      <c r="D31" s="7" t="n">
        <v>2016</v>
      </c>
      <c r="E31" t="inlineStr">
        <is>
          <t>First community microgrid</t>
        </is>
      </c>
    </row>
    <row r="32">
      <c r="D32" s="8" t="n">
        <v>43070</v>
      </c>
      <c r="E32" t="inlineStr">
        <is>
          <t>Enter SK</t>
        </is>
      </c>
      <c r="F32" t="inlineStr">
        <is>
          <t>Scarce land, very high property values</t>
        </is>
      </c>
    </row>
    <row r="33" ht="153" customHeight="1">
      <c r="C33" t="inlineStr">
        <is>
          <t>edge computing -&gt; in the end, will it always be edge?</t>
        </is>
      </c>
      <c r="D33" s="8" t="n">
        <v>43282</v>
      </c>
      <c r="E33" t="inlineStr">
        <is>
          <t>Public</t>
        </is>
      </c>
      <c r="F33" s="9" t="inlineStr">
        <is>
          <t>C&amp;I is focus, 1.6T market, 1M manufacturing
Projected rate growth due to weather, DERs for speed, limited space (energy density is key)
Data center / healthcare (demand for 24/7 power)</t>
        </is>
      </c>
      <c r="G33" t="inlineStr">
        <is>
          <t>Home Depot, AT&amp;T, Intel (25 / F100, 42 / F500)</t>
        </is>
      </c>
      <c r="H33" t="inlineStr">
        <is>
          <t>Japan, India, South Korea</t>
        </is>
      </c>
    </row>
    <row r="34">
      <c r="D34" s="7" t="n">
        <v>2022</v>
      </c>
      <c r="E34" t="inlineStr">
        <is>
          <t>Fremont,CA GW Facility</t>
        </is>
      </c>
    </row>
    <row r="35">
      <c r="D35" s="7" t="n">
        <v>2024</v>
      </c>
      <c r="E35" t="inlineStr">
        <is>
          <t>AEP 1GW of fuel cells</t>
        </is>
      </c>
    </row>
    <row r="36">
      <c r="D36" s="7" t="n">
        <v>2025</v>
      </c>
      <c r="E36" t="inlineStr">
        <is>
          <t>First hyperscaler agreement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N10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3" sqref="G13"/>
    </sheetView>
  </sheetViews>
  <sheetFormatPr baseColWidth="10" defaultRowHeight="16" outlineLevelCol="0"/>
  <cols>
    <col width="12.5" customWidth="1" min="2" max="2"/>
  </cols>
  <sheetData>
    <row r="2">
      <c r="C2" s="10" t="inlineStr">
        <is>
          <t>Q218</t>
        </is>
      </c>
      <c r="D2" s="11" t="inlineStr">
        <is>
          <t>Q318</t>
        </is>
      </c>
      <c r="E2" s="11" t="inlineStr">
        <is>
          <t>Q418</t>
        </is>
      </c>
      <c r="F2" s="13" t="inlineStr">
        <is>
          <t>Q119</t>
        </is>
      </c>
      <c r="G2" s="13" t="inlineStr">
        <is>
          <t>Q219</t>
        </is>
      </c>
      <c r="H2" s="11" t="inlineStr">
        <is>
          <t>Q319</t>
        </is>
      </c>
      <c r="I2" s="11" t="inlineStr">
        <is>
          <t>Q419</t>
        </is>
      </c>
      <c r="J2" s="13" t="inlineStr">
        <is>
          <t>Q120</t>
        </is>
      </c>
      <c r="K2" s="13" t="inlineStr">
        <is>
          <t>Q220</t>
        </is>
      </c>
      <c r="L2" s="11" t="inlineStr">
        <is>
          <t>Q320</t>
        </is>
      </c>
      <c r="M2" s="11" t="inlineStr">
        <is>
          <t>Q420</t>
        </is>
      </c>
      <c r="N2" s="13" t="inlineStr">
        <is>
          <t>Q121</t>
        </is>
      </c>
      <c r="O2" s="13" t="inlineStr">
        <is>
          <t>Q221</t>
        </is>
      </c>
      <c r="P2" s="11" t="inlineStr">
        <is>
          <t>Q321</t>
        </is>
      </c>
      <c r="Q2" s="11" t="inlineStr">
        <is>
          <t>Q421</t>
        </is>
      </c>
      <c r="R2" s="13" t="inlineStr">
        <is>
          <t>Q122</t>
        </is>
      </c>
      <c r="S2" s="13" t="inlineStr">
        <is>
          <t>Q222</t>
        </is>
      </c>
      <c r="T2" s="11" t="inlineStr">
        <is>
          <t>Q322</t>
        </is>
      </c>
      <c r="U2" s="11" t="inlineStr">
        <is>
          <t>Q422</t>
        </is>
      </c>
      <c r="V2" s="13" t="inlineStr">
        <is>
          <t>Q123</t>
        </is>
      </c>
      <c r="W2" s="13" t="inlineStr">
        <is>
          <t>Q223</t>
        </is>
      </c>
      <c r="X2" s="13" t="inlineStr">
        <is>
          <t>Q323</t>
        </is>
      </c>
      <c r="Y2" s="13" t="inlineStr">
        <is>
          <t>Q423</t>
        </is>
      </c>
      <c r="Z2" s="13" t="inlineStr">
        <is>
          <t>Q124</t>
        </is>
      </c>
      <c r="AA2" s="13" t="inlineStr">
        <is>
          <t>Q224</t>
        </is>
      </c>
      <c r="AB2" s="10" t="inlineStr">
        <is>
          <t>Q324</t>
        </is>
      </c>
      <c r="AC2" s="10" t="inlineStr">
        <is>
          <t>Q424</t>
        </is>
      </c>
      <c r="AD2" s="10" t="inlineStr">
        <is>
          <t>Q125</t>
        </is>
      </c>
      <c r="AE2" s="10" t="inlineStr">
        <is>
          <t>Q225</t>
        </is>
      </c>
      <c r="AF2" s="13" t="inlineStr">
        <is>
          <t>Q325</t>
        </is>
      </c>
      <c r="AG2" s="10" t="inlineStr">
        <is>
          <t>Q425</t>
        </is>
      </c>
      <c r="AH2" s="10" t="inlineStr">
        <is>
          <t>Q126</t>
        </is>
      </c>
      <c r="AI2" s="10" t="inlineStr">
        <is>
          <t>Q226</t>
        </is>
      </c>
      <c r="AJ2" t="inlineStr">
        <is>
          <t>Q326</t>
        </is>
      </c>
      <c r="AK2" t="inlineStr">
        <is>
          <t>Q426</t>
        </is>
      </c>
      <c r="AL2" t="inlineStr">
        <is>
          <t>Q127</t>
        </is>
      </c>
      <c r="AM2" t="inlineStr">
        <is>
          <t>Q227</t>
        </is>
      </c>
      <c r="AN2" t="inlineStr">
        <is>
          <t>Q327</t>
        </is>
      </c>
      <c r="AO2" t="inlineStr">
        <is>
          <t>Q427</t>
        </is>
      </c>
      <c r="AR2" t="n">
        <v>2018</v>
      </c>
      <c r="AS2" t="n">
        <v>2019</v>
      </c>
      <c r="AT2" t="n">
        <v>2020</v>
      </c>
      <c r="AU2" t="n">
        <v>2021</v>
      </c>
      <c r="AV2" t="n">
        <v>2022</v>
      </c>
      <c r="AW2" t="n">
        <v>2023</v>
      </c>
      <c r="AX2" t="n">
        <v>2024</v>
      </c>
      <c r="AY2" t="n">
        <v>2025</v>
      </c>
      <c r="AZ2" t="n">
        <v>2026</v>
      </c>
      <c r="BA2" t="n">
        <v>2027</v>
      </c>
      <c r="BB2" t="n">
        <v>2028</v>
      </c>
      <c r="BC2" t="n">
        <v>2029</v>
      </c>
      <c r="BD2" t="n">
        <v>2030</v>
      </c>
      <c r="BE2" t="n">
        <v>2031</v>
      </c>
      <c r="BF2" t="n">
        <v>2032</v>
      </c>
      <c r="BG2" t="n">
        <v>2033</v>
      </c>
      <c r="BH2" t="n">
        <v>2034</v>
      </c>
      <c r="BI2" t="n">
        <v>2035</v>
      </c>
      <c r="BJ2" t="n">
        <v>2036</v>
      </c>
      <c r="BK2" t="n">
        <v>2037</v>
      </c>
      <c r="BL2" t="n">
        <v>2038</v>
      </c>
      <c r="BM2" t="n">
        <v>2039</v>
      </c>
      <c r="BN2" t="n">
        <v>2040</v>
      </c>
    </row>
    <row r="4">
      <c r="B4" t="inlineStr">
        <is>
          <t>Data centers</t>
        </is>
      </c>
    </row>
    <row r="5">
      <c r="B5" t="inlineStr">
        <is>
          <t>Healthcare</t>
        </is>
      </c>
      <c r="C5" t="n">
        <v>29</v>
      </c>
    </row>
    <row r="6">
      <c r="B6" t="inlineStr">
        <is>
          <t>Install base (MW)</t>
        </is>
      </c>
      <c r="C6" t="n">
        <v>328</v>
      </c>
    </row>
    <row r="8">
      <c r="B8" t="inlineStr">
        <is>
          <t>Acceptances</t>
        </is>
      </c>
      <c r="C8" t="n">
        <v>181</v>
      </c>
    </row>
    <row r="9">
      <c r="B9" t="inlineStr">
        <is>
          <t>Acceptances (MW)</t>
        </is>
      </c>
      <c r="C9" t="n">
        <v>18.1</v>
      </c>
    </row>
    <row r="12">
      <c r="B12" t="inlineStr">
        <is>
          <t>International headcount</t>
        </is>
      </c>
    </row>
    <row r="13">
      <c r="B13" t="inlineStr">
        <is>
          <t>US headcount</t>
        </is>
      </c>
      <c r="AG13" t="n">
        <v>1752</v>
      </c>
    </row>
    <row r="14">
      <c r="B14" t="inlineStr">
        <is>
          <t>Headcount</t>
        </is>
      </c>
      <c r="AG14" t="n">
        <v>2214</v>
      </c>
    </row>
    <row r="15">
      <c r="B15" t="inlineStr">
        <is>
          <t>Energy Server Systems Deployed</t>
        </is>
      </c>
      <c r="AG15" t="n">
        <v>1100</v>
      </c>
    </row>
    <row r="17">
      <c r="B17" t="inlineStr">
        <is>
          <t>US</t>
        </is>
      </c>
    </row>
    <row r="18">
      <c r="B18" t="inlineStr">
        <is>
          <t>South korea</t>
        </is>
      </c>
    </row>
    <row r="19">
      <c r="B19" t="inlineStr">
        <is>
          <t>Countries</t>
        </is>
      </c>
      <c r="AG19" t="n">
        <v>9</v>
      </c>
    </row>
    <row r="21">
      <c r="B21" t="inlineStr">
        <is>
          <t>Data Centers</t>
        </is>
      </c>
    </row>
    <row r="22">
      <c r="B22" t="inlineStr">
        <is>
          <t>C&amp;I</t>
        </is>
      </c>
    </row>
    <row r="23">
      <c r="B23" t="inlineStr">
        <is>
          <t>Utilities</t>
        </is>
      </c>
    </row>
    <row r="28">
      <c r="B28" t="inlineStr">
        <is>
          <t>Product % of rev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>
        <f>Z33/Z$37</f>
        <v/>
      </c>
      <c r="AA28" s="2">
        <f>AA33/AA$37</f>
        <v/>
      </c>
      <c r="AB28" s="2">
        <f>AB33/AB$37</f>
        <v/>
      </c>
      <c r="AC28" s="2">
        <f>AC33/AC$37</f>
        <v/>
      </c>
      <c r="AD28" s="2">
        <f>AD33/AD$37</f>
        <v/>
      </c>
      <c r="AE28" s="2">
        <f>AE33/AE$37</f>
        <v/>
      </c>
      <c r="AF28" s="2">
        <f>AF33/AF$37</f>
        <v/>
      </c>
      <c r="AG28" s="2">
        <f>AG33/AG$37</f>
        <v/>
      </c>
      <c r="AH28" s="2">
        <f>AH33/AH$37</f>
        <v/>
      </c>
      <c r="AI28" s="2">
        <f>AI33/AI$37</f>
        <v/>
      </c>
    </row>
    <row r="29">
      <c r="B29" t="inlineStr">
        <is>
          <t>Installation % of rev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>
        <f>Z34/Z$37</f>
        <v/>
      </c>
      <c r="AA29" s="2">
        <f>AA34/AA$37</f>
        <v/>
      </c>
      <c r="AB29" s="2">
        <f>AB34/AB$37</f>
        <v/>
      </c>
      <c r="AC29" s="2">
        <f>AC34/AC$37</f>
        <v/>
      </c>
      <c r="AD29" s="2">
        <f>AD34/AD$37</f>
        <v/>
      </c>
      <c r="AE29" s="2">
        <f>AE34/AE$37</f>
        <v/>
      </c>
      <c r="AF29" s="2">
        <f>AF34/AF$37</f>
        <v/>
      </c>
      <c r="AG29" s="2">
        <f>AG34/AG$37</f>
        <v/>
      </c>
      <c r="AH29" s="2">
        <f>AH34/AH$37</f>
        <v/>
      </c>
      <c r="AI29" s="2">
        <f>AI34/AI$37</f>
        <v/>
      </c>
    </row>
    <row r="30">
      <c r="B30" t="inlineStr">
        <is>
          <t>Service % of rev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>
        <f>Z35/Z$37</f>
        <v/>
      </c>
      <c r="AA30" s="2">
        <f>AA35/AA$37</f>
        <v/>
      </c>
      <c r="AB30" s="2">
        <f>AB35/AB$37</f>
        <v/>
      </c>
      <c r="AC30" s="2">
        <f>AC35/AC$37</f>
        <v/>
      </c>
      <c r="AD30" s="2">
        <f>AD35/AD$37</f>
        <v/>
      </c>
      <c r="AE30" s="2">
        <f>AE35/AE$37</f>
        <v/>
      </c>
      <c r="AF30" s="2">
        <f>AF35/AF$37</f>
        <v/>
      </c>
      <c r="AG30" s="2">
        <f>AG35/AG$37</f>
        <v/>
      </c>
      <c r="AH30" s="2">
        <f>AH35/AH$37</f>
        <v/>
      </c>
      <c r="AI30" s="2">
        <f>AI35/AI$37</f>
        <v/>
      </c>
    </row>
    <row r="31">
      <c r="B31" t="inlineStr">
        <is>
          <t>Electricity % of rev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>
        <f>Z36/Z$37</f>
        <v/>
      </c>
      <c r="AA31" s="2">
        <f>AA36/AA$37</f>
        <v/>
      </c>
      <c r="AB31" s="2">
        <f>AB36/AB$37</f>
        <v/>
      </c>
      <c r="AC31" s="2">
        <f>AC36/AC$37</f>
        <v/>
      </c>
      <c r="AD31" s="2">
        <f>AD36/AD$37</f>
        <v/>
      </c>
      <c r="AE31" s="2">
        <f>AE36/AE$37</f>
        <v/>
      </c>
      <c r="AF31" s="2">
        <f>AF36/AF$37</f>
        <v/>
      </c>
      <c r="AG31" s="2">
        <f>AG36/AG$37</f>
        <v/>
      </c>
      <c r="AH31" s="2">
        <f>AH36/AH$37</f>
        <v/>
      </c>
      <c r="AI31" s="2">
        <f>AI36/AI$37</f>
        <v/>
      </c>
    </row>
    <row r="33">
      <c r="B33" t="inlineStr">
        <is>
          <t>Product</t>
        </is>
      </c>
      <c r="C33" s="1" t="n">
        <v>108.654</v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>
        <v>153.364</v>
      </c>
      <c r="AA33" s="1" t="n">
        <v>226.308</v>
      </c>
      <c r="AB33" s="1" t="n">
        <v>233.77</v>
      </c>
      <c r="AC33" s="1" t="n">
        <v>471.711</v>
      </c>
      <c r="AD33" s="1" t="n">
        <v>211.869</v>
      </c>
      <c r="AE33" s="1" t="n">
        <v>296.611</v>
      </c>
      <c r="AF33" s="1" t="n">
        <v>384.314</v>
      </c>
      <c r="AG33" s="1" t="n">
        <v>638.487</v>
      </c>
      <c r="AH33" s="1" t="n">
        <v>653.348</v>
      </c>
      <c r="AI33" s="1" t="n">
        <v>935.413</v>
      </c>
      <c r="AX33" s="1">
        <f>SUM(Z33:AC33)</f>
        <v/>
      </c>
      <c r="AY33" s="1">
        <f>SUM(AD33:AG33)</f>
        <v/>
      </c>
    </row>
    <row r="34">
      <c r="B34" t="inlineStr">
        <is>
          <t>Installation</t>
        </is>
      </c>
      <c r="C34" s="1" t="n">
        <v>26.245</v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>
        <v>11.444</v>
      </c>
      <c r="AA34" s="1" t="n">
        <v>42.733</v>
      </c>
      <c r="AB34" s="1" t="n">
        <v>32.052</v>
      </c>
      <c r="AC34" s="1" t="n">
        <v>36.089</v>
      </c>
      <c r="AD34" s="1" t="n">
        <v>33.651</v>
      </c>
      <c r="AE34" s="1" t="n">
        <v>37.372</v>
      </c>
      <c r="AF34" s="1" t="n">
        <v>65.773</v>
      </c>
      <c r="AG34" s="1" t="n">
        <v>67.27200000000001</v>
      </c>
      <c r="AH34" s="1" t="n">
        <v>25.931</v>
      </c>
      <c r="AI34" s="1" t="n">
        <v>50.978</v>
      </c>
      <c r="AX34" s="1">
        <f>SUM(Z34:AC34)</f>
        <v/>
      </c>
      <c r="AY34" s="1">
        <f>SUM(AD34:AG34)</f>
        <v/>
      </c>
    </row>
    <row r="35">
      <c r="B35" t="inlineStr">
        <is>
          <t>Service</t>
        </is>
      </c>
      <c r="C35" s="1" t="n">
        <v>19.975</v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>
        <v>56.46</v>
      </c>
      <c r="AA35" s="1" t="n">
        <v>52.531</v>
      </c>
      <c r="AB35" s="1" t="n">
        <v>50.761</v>
      </c>
      <c r="AC35" s="1" t="n">
        <v>53.79</v>
      </c>
      <c r="AD35" s="1" t="n">
        <v>53.548</v>
      </c>
      <c r="AE35" s="1" t="n">
        <v>54.449</v>
      </c>
      <c r="AF35" s="1" t="n">
        <v>58.607</v>
      </c>
      <c r="AG35" s="1" t="n">
        <v>61.691</v>
      </c>
      <c r="AH35" s="1" t="n">
        <v>61.879</v>
      </c>
      <c r="AI35" s="1" t="n">
        <v>69.023</v>
      </c>
      <c r="AX35" s="1">
        <f>SUM(Z35:AC35)</f>
        <v/>
      </c>
      <c r="AY35" s="1">
        <f>SUM(AD35:AG35)</f>
        <v/>
      </c>
    </row>
    <row r="36">
      <c r="B36" t="inlineStr">
        <is>
          <t>Electricity</t>
        </is>
      </c>
      <c r="C36" s="1" t="n">
        <v>14.007</v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>
        <v>14.03</v>
      </c>
      <c r="AA36" s="1" t="n">
        <v>14.195</v>
      </c>
      <c r="AB36" s="1" t="n">
        <v>13.861</v>
      </c>
      <c r="AC36" s="1" t="n">
        <v>10.803</v>
      </c>
      <c r="AD36" s="1" t="n">
        <v>26.953</v>
      </c>
      <c r="AE36" s="1" t="n">
        <v>12.81</v>
      </c>
      <c r="AF36" s="1" t="n">
        <v>10.354</v>
      </c>
      <c r="AG36" s="1" t="n">
        <v>10.233</v>
      </c>
      <c r="AH36" s="1" t="n">
        <v>9.896000000000001</v>
      </c>
      <c r="AI36" s="1" t="n">
        <v>9.951000000000001</v>
      </c>
      <c r="AX36" s="1">
        <f>SUM(Z36:AC36)</f>
        <v/>
      </c>
      <c r="AY36" s="1">
        <f>SUM(AD36:AG36)</f>
        <v/>
      </c>
    </row>
    <row r="37" customFormat="1" s="3">
      <c r="B37" s="3" t="inlineStr">
        <is>
          <t>Revenue</t>
        </is>
      </c>
      <c r="C37" s="4">
        <f>SUM(C33:C36)</f>
        <v/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>
        <f>SUM(Z33:Z36)</f>
        <v/>
      </c>
      <c r="AA37" s="4">
        <f>SUM(AA33:AA36)</f>
        <v/>
      </c>
      <c r="AB37" s="4">
        <f>SUM(AB33:AB36)</f>
        <v/>
      </c>
      <c r="AC37" s="4">
        <f>SUM(AC33:AC36)</f>
        <v/>
      </c>
      <c r="AD37" s="4">
        <f>SUM(AD33:AD36)</f>
        <v/>
      </c>
      <c r="AE37" s="4">
        <f>SUM(AE33:AE36)</f>
        <v/>
      </c>
      <c r="AF37" s="4">
        <f>SUM(AF33:AF36)</f>
        <v/>
      </c>
      <c r="AG37" s="4">
        <f>SUM(AG33:AG36)</f>
        <v/>
      </c>
      <c r="AH37" s="4">
        <f>SUM(AH33:AH36)</f>
        <v/>
      </c>
      <c r="AI37" s="4">
        <f>SUM(AI33:AI36)</f>
        <v/>
      </c>
      <c r="AX37" s="4">
        <f>SUM(Z37:AC37)</f>
        <v/>
      </c>
      <c r="AY37" s="4">
        <f>SUM(AD37:AG37)</f>
        <v/>
      </c>
    </row>
    <row r="38" customFormat="1" s="3"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</row>
    <row r="39" customFormat="1" s="6">
      <c r="B39" s="6" t="inlineStr">
        <is>
          <t>Product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115.757</v>
      </c>
      <c r="AA39" s="5" t="n">
        <v>161.332</v>
      </c>
      <c r="AB39" s="5" t="n">
        <v>155.124</v>
      </c>
      <c r="AC39" s="5" t="n">
        <v>253.634</v>
      </c>
      <c r="AD39" s="5" t="n">
        <v>139.573</v>
      </c>
      <c r="AE39" s="5" t="n">
        <v>198.746</v>
      </c>
      <c r="AF39" s="5" t="n">
        <v>249.794</v>
      </c>
      <c r="AG39" s="5" t="n">
        <v>404.728</v>
      </c>
      <c r="AH39" s="5" t="n">
        <v>429.232</v>
      </c>
      <c r="AI39" s="5" t="n">
        <v>593.957</v>
      </c>
      <c r="AX39" s="1">
        <f>SUM(Z39:AC39)</f>
        <v/>
      </c>
    </row>
    <row r="40" customFormat="1" s="3">
      <c r="B40" t="inlineStr">
        <is>
          <t>Installation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15.353</v>
      </c>
      <c r="AA40" s="5" t="n">
        <v>44.298</v>
      </c>
      <c r="AB40" s="5" t="n">
        <v>35.688</v>
      </c>
      <c r="AC40" s="5" t="n">
        <v>34.107</v>
      </c>
      <c r="AD40" s="5" t="n">
        <v>33.315</v>
      </c>
      <c r="AE40" s="5" t="n">
        <v>38.224</v>
      </c>
      <c r="AF40" s="5" t="n">
        <v>59.921</v>
      </c>
      <c r="AG40" s="5" t="n">
        <v>74.486</v>
      </c>
      <c r="AH40" s="5" t="n">
        <v>35.08</v>
      </c>
      <c r="AI40" s="5" t="n">
        <v>52.829</v>
      </c>
      <c r="AX40" s="1">
        <f>SUM(Z40:AC40)</f>
        <v/>
      </c>
    </row>
    <row r="41" customFormat="1" s="3">
      <c r="B41" t="inlineStr">
        <is>
          <t>Service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>
        <v>56.506</v>
      </c>
      <c r="AA41" s="5" t="n">
        <v>52.401</v>
      </c>
      <c r="AB41" s="5" t="n">
        <v>51.363</v>
      </c>
      <c r="AC41" s="5" t="n">
        <v>54.691</v>
      </c>
      <c r="AD41" s="5" t="n">
        <v>52.858</v>
      </c>
      <c r="AE41" s="5" t="n">
        <v>49.408</v>
      </c>
      <c r="AF41" s="5" t="n">
        <v>51.834</v>
      </c>
      <c r="AG41" s="5" t="n">
        <v>51.289</v>
      </c>
      <c r="AH41" s="5" t="n">
        <v>53.664</v>
      </c>
      <c r="AI41" s="5" t="n">
        <v>56.148</v>
      </c>
      <c r="AX41" s="1">
        <f>SUM(Z41:AC41)</f>
        <v/>
      </c>
    </row>
    <row r="42" customFormat="1" s="3">
      <c r="B42" t="inlineStr">
        <is>
          <t>Electricity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>
        <v>9.606</v>
      </c>
      <c r="AA42" s="5" t="n">
        <v>9.214</v>
      </c>
      <c r="AB42" s="5" t="n">
        <v>9.49</v>
      </c>
      <c r="AC42" s="5" t="n">
        <v>10.644</v>
      </c>
      <c r="AD42" s="5" t="n">
        <v>11.568</v>
      </c>
      <c r="AE42" s="5" t="n">
        <v>7.741</v>
      </c>
      <c r="AF42" s="5" t="n">
        <v>5.824</v>
      </c>
      <c r="AG42" s="5" t="n">
        <v>7.285</v>
      </c>
      <c r="AH42" s="5" t="n">
        <v>7.534</v>
      </c>
      <c r="AI42" s="5" t="n">
        <v>6.859</v>
      </c>
      <c r="AX42" s="1">
        <f>SUM(Z42:AC42)</f>
        <v/>
      </c>
    </row>
    <row r="43" customFormat="1" s="3">
      <c r="B43" s="3" t="inlineStr">
        <is>
          <t>Gross Profit</t>
        </is>
      </c>
      <c r="C43" s="4">
        <f>C37-136.11</f>
        <v/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>
        <f>Z37-SUM(Z39:Z42)</f>
        <v/>
      </c>
      <c r="AA43" s="4">
        <f>AA37-SUM(AA39:AA42)</f>
        <v/>
      </c>
      <c r="AB43" s="4">
        <f>AB37-SUM(AB39:AB42)</f>
        <v/>
      </c>
      <c r="AC43" s="4">
        <f>AC37-SUM(AC39:AC42)</f>
        <v/>
      </c>
      <c r="AD43" s="4">
        <f>AD37-SUM(AD39:AD42)</f>
        <v/>
      </c>
      <c r="AE43" s="4">
        <f>AE37-SUM(AE39:AE42)</f>
        <v/>
      </c>
      <c r="AF43" s="4">
        <f>AF37-SUM(AF39:AF42)</f>
        <v/>
      </c>
      <c r="AG43" s="4">
        <f>AG37-SUM(AG39:AG42)</f>
        <v/>
      </c>
      <c r="AH43" s="4">
        <f>AH37-SUM(AH39:AH42)</f>
        <v/>
      </c>
      <c r="AI43" s="4">
        <f>AI37-SUM(AI39:AI42)</f>
        <v/>
      </c>
      <c r="AX43" s="4">
        <f>SUM(Z43:AC43)</f>
        <v/>
      </c>
    </row>
    <row r="44" customFormat="1" s="6">
      <c r="B44" s="6" t="inlineStr">
        <is>
          <t>R&amp;D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>
        <v>35.485</v>
      </c>
      <c r="AA44" s="5" t="n">
        <v>37.364</v>
      </c>
      <c r="AB44" s="5" t="n">
        <v>36.315</v>
      </c>
      <c r="AC44" s="5" t="n">
        <v>39.465</v>
      </c>
      <c r="AD44" s="5" t="n">
        <v>40.612</v>
      </c>
      <c r="AE44" s="5" t="n">
        <v>40.768</v>
      </c>
      <c r="AF44" s="5" t="n">
        <v>48.724</v>
      </c>
      <c r="AG44" s="5" t="n">
        <v>55.889</v>
      </c>
      <c r="AH44" s="5">
        <f>56.849</f>
        <v/>
      </c>
      <c r="AI44" s="5" t="n">
        <v>58.873</v>
      </c>
      <c r="AX44" s="1">
        <f>SUM(Z44:AC44)</f>
        <v/>
      </c>
    </row>
    <row r="45" customFormat="1" s="6">
      <c r="B45" s="6" t="inlineStr">
        <is>
          <t>S&amp;M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>
        <v>13.599</v>
      </c>
      <c r="AA45" s="5" t="n">
        <v>17.901</v>
      </c>
      <c r="AB45" s="5" t="n">
        <v>14.667</v>
      </c>
      <c r="AC45" s="5" t="n">
        <v>21.838</v>
      </c>
      <c r="AD45" s="5" t="n">
        <v>22.265</v>
      </c>
      <c r="AE45" s="5" t="n">
        <v>24.066</v>
      </c>
      <c r="AF45" s="5" t="n">
        <v>41.995</v>
      </c>
      <c r="AG45" s="5" t="n">
        <v>41.902</v>
      </c>
      <c r="AH45" s="5" t="n">
        <v>38.439</v>
      </c>
      <c r="AI45" s="5" t="n">
        <v>43.045</v>
      </c>
      <c r="AX45" s="1">
        <f>SUM(Z45:AC45)</f>
        <v/>
      </c>
    </row>
    <row r="46" customFormat="1" s="6">
      <c r="B46" s="6" t="inlineStr">
        <is>
          <t>G&amp;A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>
        <v>38.009</v>
      </c>
      <c r="AA46" s="5" t="n">
        <v>36.385</v>
      </c>
      <c r="AB46" s="5" t="n">
        <v>37.403</v>
      </c>
      <c r="AC46" s="5" t="n">
        <v>53.308</v>
      </c>
      <c r="AD46" s="5" t="n">
        <v>44.9</v>
      </c>
      <c r="AE46" s="5" t="n">
        <v>45.792</v>
      </c>
      <c r="AF46" s="5" t="n">
        <v>53.11</v>
      </c>
      <c r="AG46" s="5" t="n">
        <v>54.575</v>
      </c>
      <c r="AH46" s="5" t="n">
        <v>58.066</v>
      </c>
      <c r="AI46" s="5" t="n">
        <v>71.417</v>
      </c>
      <c r="AX46" s="1">
        <f>SUM(Z46:AC46)</f>
        <v/>
      </c>
    </row>
    <row r="47" customFormat="1" s="3">
      <c r="B47" s="3" t="inlineStr">
        <is>
          <t>Operating Income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>
        <f>Z43-SUM(Z44:Z46)</f>
        <v/>
      </c>
      <c r="AA47" s="4">
        <f>AA43-SUM(AA44:AA46)</f>
        <v/>
      </c>
      <c r="AB47" s="4">
        <f>AB43-SUM(AB44:AB46)</f>
        <v/>
      </c>
      <c r="AC47" s="4">
        <f>AC43-SUM(AC44:AC46)</f>
        <v/>
      </c>
      <c r="AD47" s="4">
        <f>AD43-SUM(AD44:AD46)</f>
        <v/>
      </c>
      <c r="AE47" s="4">
        <f>AE43-SUM(AE44:AE46)</f>
        <v/>
      </c>
      <c r="AF47" s="4">
        <f>AF43-SUM(AF44:AF46)</f>
        <v/>
      </c>
      <c r="AG47" s="4">
        <f>AG43-SUM(AG44:AG46)</f>
        <v/>
      </c>
      <c r="AH47" s="4">
        <f>AH43-SUM(AH44:AH46)</f>
        <v/>
      </c>
      <c r="AI47" s="4">
        <f>AI43-SUM(AI44:AI46)</f>
        <v/>
      </c>
      <c r="AX47" s="1">
        <f>SUM(Z47:AC47)</f>
        <v/>
      </c>
    </row>
    <row r="48" customFormat="1" s="3">
      <c r="B48" s="3" t="inlineStr">
        <is>
          <t>Other income (loss)</t>
        </is>
      </c>
      <c r="AE48" s="4" t="n"/>
      <c r="AF48" s="4" t="n"/>
      <c r="AG48" s="4" t="n"/>
      <c r="AH48" s="4" t="n"/>
      <c r="AI48" s="4" t="n"/>
      <c r="AX48" s="4">
        <f>SUM(Z48:AC48)</f>
        <v/>
      </c>
    </row>
    <row r="49">
      <c r="B49" s="6" t="inlineStr">
        <is>
          <t>EBT</t>
        </is>
      </c>
      <c r="AX49" s="1">
        <f>SUM(Z49:AC49)</f>
        <v/>
      </c>
    </row>
    <row r="50">
      <c r="B50" s="6" t="inlineStr">
        <is>
          <t>Tax</t>
        </is>
      </c>
      <c r="AX50" s="1">
        <f>SUM(Z50:AC50)</f>
        <v/>
      </c>
    </row>
    <row r="51">
      <c r="B51" s="6" t="inlineStr">
        <is>
          <t>Net Profit</t>
        </is>
      </c>
      <c r="AX51" s="1">
        <f>SUM(Z51:AC51)</f>
        <v/>
      </c>
    </row>
    <row r="52">
      <c r="AX52" s="1" t="n"/>
    </row>
    <row r="53">
      <c r="B53" t="inlineStr">
        <is>
          <t>Product margin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>
        <f>(Z33-Z39)/Z33</f>
        <v/>
      </c>
      <c r="AA53" s="2">
        <f>(AA33-AA39)/AA33</f>
        <v/>
      </c>
      <c r="AB53" s="2">
        <f>(AB33-AB39)/AB33</f>
        <v/>
      </c>
      <c r="AC53" s="2">
        <f>(AC33-AC39)/AC33</f>
        <v/>
      </c>
      <c r="AD53" s="2">
        <f>(AD33-AD39)/AD33</f>
        <v/>
      </c>
      <c r="AE53" s="2">
        <f>(AE33-AE39)/AE33</f>
        <v/>
      </c>
      <c r="AF53" s="2">
        <f>(AF33-AF39)/AF33</f>
        <v/>
      </c>
      <c r="AG53" s="2">
        <f>(AG33-AG39)/AG33</f>
        <v/>
      </c>
      <c r="AH53" s="2">
        <f>(AH33-AH39)/AH33</f>
        <v/>
      </c>
      <c r="AI53" s="2">
        <f>(AI33-AI39)/AI33</f>
        <v/>
      </c>
      <c r="AX53" s="4">
        <f>SUM(Z53:AC53)</f>
        <v/>
      </c>
    </row>
    <row r="54">
      <c r="B54" t="inlineStr">
        <is>
          <t>Installation margin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>
        <f>(Z34-Z40)/Z34</f>
        <v/>
      </c>
      <c r="AA54" s="2">
        <f>(AA34-AA40)/AA34</f>
        <v/>
      </c>
      <c r="AB54" s="2">
        <f>(AB34-AB40)/AB34</f>
        <v/>
      </c>
      <c r="AC54" s="2">
        <f>(AC34-AC40)/AC34</f>
        <v/>
      </c>
      <c r="AD54" s="2">
        <f>(AD34-AD40)/AD34</f>
        <v/>
      </c>
      <c r="AE54" s="2">
        <f>(AE34-AE40)/AE34</f>
        <v/>
      </c>
      <c r="AF54" s="2">
        <f>(AF34-AF40)/AF34</f>
        <v/>
      </c>
      <c r="AG54" s="2">
        <f>(AG34-AG40)/AG34</f>
        <v/>
      </c>
      <c r="AH54" s="2">
        <f>(AH34-AH40)/AH34</f>
        <v/>
      </c>
      <c r="AI54" s="2">
        <f>(AI34-AI40)/AI34</f>
        <v/>
      </c>
    </row>
    <row r="55">
      <c r="B55" t="inlineStr">
        <is>
          <t>Service margin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>
        <f>(Z35-Z41)/Z35</f>
        <v/>
      </c>
      <c r="AA55" s="2">
        <f>(AA35-AA41)/AA35</f>
        <v/>
      </c>
      <c r="AB55" s="2">
        <f>(AB35-AB41)/AB35</f>
        <v/>
      </c>
      <c r="AC55" s="2">
        <f>(AC35-AC41)/AC35</f>
        <v/>
      </c>
      <c r="AD55" s="2">
        <f>(AD35-AD41)/AD35</f>
        <v/>
      </c>
      <c r="AE55" s="2">
        <f>(AE35-AE41)/AE35</f>
        <v/>
      </c>
      <c r="AF55" s="2">
        <f>(AF35-AF41)/AF35</f>
        <v/>
      </c>
      <c r="AG55" s="2">
        <f>(AG35-AG41)/AG35</f>
        <v/>
      </c>
      <c r="AH55" s="2">
        <f>(AH35-AH41)/AH35</f>
        <v/>
      </c>
      <c r="AI55" s="2">
        <f>(AI35-AI41)/AI35</f>
        <v/>
      </c>
    </row>
    <row r="56">
      <c r="B56" t="inlineStr">
        <is>
          <t>Electricity margin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>
        <f>(Z36-Z42)/Z36</f>
        <v/>
      </c>
      <c r="AA56" s="2">
        <f>(AA36-AA42)/AA36</f>
        <v/>
      </c>
      <c r="AB56" s="2">
        <f>(AB36-AB42)/AB36</f>
        <v/>
      </c>
      <c r="AC56" s="2">
        <f>(AC36-AC42)/AC36</f>
        <v/>
      </c>
      <c r="AD56" s="2">
        <f>(AD36-AD42)/AD36</f>
        <v/>
      </c>
      <c r="AE56" s="2">
        <f>(AE36-AE42)/AE36</f>
        <v/>
      </c>
      <c r="AF56" s="2">
        <f>(AF36-AF42)/AF36</f>
        <v/>
      </c>
      <c r="AG56" s="2">
        <f>(AG36-AG42)/AG36</f>
        <v/>
      </c>
      <c r="AH56" s="2">
        <f>(AH36-AH42)/AH36</f>
        <v/>
      </c>
      <c r="AI56" s="2">
        <f>(AI36-AI42)/AI36</f>
        <v/>
      </c>
    </row>
    <row r="58">
      <c r="B58" t="inlineStr">
        <is>
          <t>Gross Margin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>
        <f>Z43/Z37</f>
        <v/>
      </c>
      <c r="AA58" s="2">
        <f>AA43/AA37</f>
        <v/>
      </c>
      <c r="AB58" s="2">
        <f>AB43/AB37</f>
        <v/>
      </c>
      <c r="AC58" s="2">
        <f>AC43/AC37</f>
        <v/>
      </c>
      <c r="AD58" s="2">
        <f>AD43/AD37</f>
        <v/>
      </c>
      <c r="AE58" s="2">
        <f>AE43/AE37</f>
        <v/>
      </c>
      <c r="AF58" s="2">
        <f>AF43/AF37</f>
        <v/>
      </c>
      <c r="AG58" s="2">
        <f>AG43/AG37</f>
        <v/>
      </c>
      <c r="AH58" s="2">
        <f>AH43/AH37</f>
        <v/>
      </c>
      <c r="AI58" s="2">
        <f>AI43/AI37</f>
        <v/>
      </c>
    </row>
    <row r="59">
      <c r="B59" t="inlineStr">
        <is>
          <t>Operating Margin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>
        <f>Z47/Z37</f>
        <v/>
      </c>
      <c r="AA59" s="2">
        <f>AA47/AA37</f>
        <v/>
      </c>
      <c r="AB59" s="2">
        <f>AB47/AB37</f>
        <v/>
      </c>
      <c r="AC59" s="2">
        <f>AC47/AC37</f>
        <v/>
      </c>
      <c r="AD59" s="2">
        <f>AD47/AD37</f>
        <v/>
      </c>
      <c r="AE59" s="2">
        <f>AE47/AE37</f>
        <v/>
      </c>
      <c r="AF59" s="2">
        <f>AF47/AF37</f>
        <v/>
      </c>
      <c r="AG59" s="2">
        <f>AG47/AG37</f>
        <v/>
      </c>
      <c r="AH59" s="2">
        <f>AH47/AH37</f>
        <v/>
      </c>
      <c r="AI59" s="2">
        <f>AI47/AI37</f>
        <v/>
      </c>
    </row>
    <row r="62">
      <c r="B62" t="inlineStr">
        <is>
          <t>Cash</t>
        </is>
      </c>
      <c r="C62">
        <f>91.596-C63</f>
        <v/>
      </c>
    </row>
    <row r="63">
      <c r="B63" t="inlineStr">
        <is>
          <t>Restricted cash (LT)</t>
        </is>
      </c>
      <c r="C63" t="n">
        <v>25.86</v>
      </c>
    </row>
    <row r="64">
      <c r="B64" t="inlineStr">
        <is>
          <t>AR</t>
        </is>
      </c>
      <c r="C64" t="n">
        <v>15.703</v>
      </c>
    </row>
    <row r="65">
      <c r="B65" t="inlineStr">
        <is>
          <t>Inventories</t>
        </is>
      </c>
    </row>
    <row r="66">
      <c r="B66" t="inlineStr">
        <is>
          <t>Deferred COGs (ST)</t>
        </is>
      </c>
    </row>
    <row r="67">
      <c r="B67" t="inlineStr">
        <is>
          <t>Financing Recievable (ST)</t>
        </is>
      </c>
    </row>
    <row r="68">
      <c r="B68" t="inlineStr">
        <is>
          <t>Prepaid Expense</t>
        </is>
      </c>
    </row>
    <row r="69">
      <c r="B69" t="inlineStr">
        <is>
          <t>Current</t>
        </is>
      </c>
    </row>
    <row r="70">
      <c r="B70" t="inlineStr">
        <is>
          <t>PP&amp;E</t>
        </is>
      </c>
    </row>
    <row r="71">
      <c r="B71" t="inlineStr">
        <is>
          <t>Financing Recievable (LT)</t>
        </is>
      </c>
    </row>
    <row r="72">
      <c r="B72" t="inlineStr">
        <is>
          <t>Restricted cash (LT)</t>
        </is>
      </c>
    </row>
    <row r="73">
      <c r="B73" t="inlineStr">
        <is>
          <t>Deferred COGs (ST)</t>
        </is>
      </c>
    </row>
    <row r="75">
      <c r="B75" s="12" t="inlineStr">
        <is>
          <t>Quarter</t>
        </is>
      </c>
    </row>
    <row r="76">
      <c r="B76" t="inlineStr">
        <is>
          <t>Q218</t>
        </is>
      </c>
    </row>
    <row r="77">
      <c r="B77" t="inlineStr">
        <is>
          <t>Q318</t>
        </is>
      </c>
    </row>
    <row r="78">
      <c r="B78" t="inlineStr">
        <is>
          <t>Q418</t>
        </is>
      </c>
    </row>
    <row r="79">
      <c r="B79" t="inlineStr">
        <is>
          <t>Q119</t>
        </is>
      </c>
    </row>
    <row r="80">
      <c r="B80" t="inlineStr">
        <is>
          <t>Q219</t>
        </is>
      </c>
    </row>
    <row r="81">
      <c r="B81" t="inlineStr">
        <is>
          <t>Q319</t>
        </is>
      </c>
    </row>
    <row r="82">
      <c r="B82" t="inlineStr">
        <is>
          <t>Q419</t>
        </is>
      </c>
    </row>
    <row r="83">
      <c r="B83" t="inlineStr">
        <is>
          <t>Q120</t>
        </is>
      </c>
    </row>
    <row r="84">
      <c r="B84" t="inlineStr">
        <is>
          <t>Q220</t>
        </is>
      </c>
    </row>
    <row r="85">
      <c r="B85" t="inlineStr">
        <is>
          <t>Q320</t>
        </is>
      </c>
    </row>
    <row r="86">
      <c r="B86" t="inlineStr">
        <is>
          <t>Q420</t>
        </is>
      </c>
    </row>
    <row r="87">
      <c r="B87" t="inlineStr">
        <is>
          <t>Q121</t>
        </is>
      </c>
    </row>
    <row r="88">
      <c r="B88" t="inlineStr">
        <is>
          <t>Q221</t>
        </is>
      </c>
    </row>
    <row r="89">
      <c r="B89" t="inlineStr">
        <is>
          <t>Q321</t>
        </is>
      </c>
    </row>
    <row r="90">
      <c r="B90" t="inlineStr">
        <is>
          <t>Q421</t>
        </is>
      </c>
    </row>
    <row r="91">
      <c r="B91" t="inlineStr">
        <is>
          <t>Q122</t>
        </is>
      </c>
    </row>
    <row r="92">
      <c r="B92" t="inlineStr">
        <is>
          <t>Q222</t>
        </is>
      </c>
    </row>
    <row r="93">
      <c r="B93" t="inlineStr">
        <is>
          <t>Q322</t>
        </is>
      </c>
    </row>
    <row r="94">
      <c r="B94" t="inlineStr">
        <is>
          <t>Q422</t>
        </is>
      </c>
    </row>
    <row r="95">
      <c r="B95" t="inlineStr">
        <is>
          <t>Q123</t>
        </is>
      </c>
    </row>
    <row r="96">
      <c r="B96" t="inlineStr">
        <is>
          <t>Q223</t>
        </is>
      </c>
    </row>
    <row r="97">
      <c r="B97" t="inlineStr">
        <is>
          <t>Q323</t>
        </is>
      </c>
    </row>
    <row r="98">
      <c r="B98" t="inlineStr">
        <is>
          <t>Q423</t>
        </is>
      </c>
    </row>
    <row r="99">
      <c r="B99" t="inlineStr">
        <is>
          <t>Q124</t>
        </is>
      </c>
    </row>
    <row r="100">
      <c r="B100" t="inlineStr">
        <is>
          <t>Q224</t>
        </is>
      </c>
    </row>
    <row r="101">
      <c r="B101" t="inlineStr">
        <is>
          <t>Q324</t>
        </is>
      </c>
    </row>
    <row r="102">
      <c r="B102" t="inlineStr">
        <is>
          <t>Q424</t>
        </is>
      </c>
    </row>
    <row r="103">
      <c r="B103" t="inlineStr">
        <is>
          <t>Q125</t>
        </is>
      </c>
    </row>
    <row r="104">
      <c r="B104" t="inlineStr">
        <is>
          <t>Q225</t>
        </is>
      </c>
    </row>
    <row r="105">
      <c r="B105" t="inlineStr">
        <is>
          <t>Q325</t>
        </is>
      </c>
    </row>
    <row r="106">
      <c r="B106" t="inlineStr">
        <is>
          <t>Q425</t>
        </is>
      </c>
    </row>
    <row r="107">
      <c r="B107" t="inlineStr">
        <is>
          <t>Q126</t>
        </is>
      </c>
    </row>
    <row r="108">
      <c r="B108" t="inlineStr">
        <is>
          <t>Q226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display="Q324" r:id="rId2"/>
    <hyperlink xmlns:r="http://schemas.openxmlformats.org/officeDocument/2006/relationships" ref="E2" display="Q424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display="Q324" r:id="rId6"/>
    <hyperlink xmlns:r="http://schemas.openxmlformats.org/officeDocument/2006/relationships" ref="I2" display="Q424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display="Q324" r:id="rId10"/>
    <hyperlink xmlns:r="http://schemas.openxmlformats.org/officeDocument/2006/relationships" ref="M2" display="Q424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display="Q324" r:id="rId14"/>
    <hyperlink xmlns:r="http://schemas.openxmlformats.org/officeDocument/2006/relationships" ref="Q2" display="Q424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display="Q324" r:id="rId18"/>
    <hyperlink xmlns:r="http://schemas.openxmlformats.org/officeDocument/2006/relationships" ref="U2" display="Q424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</hyperlinks>
  <pageMargins left="0.7" right="0.7" top="0.75" bottom="0.75" header="0.3" footer="0.3"/>
  <legacyDrawing xmlns:r="http://schemas.openxmlformats.org/officeDocument/2006/relationships" r:id="anysvml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2026-08-25T02:23:21Z</dcterms:created>
  <dcterms:modified xsi:type="dcterms:W3CDTF">2026-09-15T00:07:28Z</dcterms:modified>
  <cp:lastModifiedBy>Dillon Walton</cp:lastModifiedBy>
</cp:coreProperties>
</file>