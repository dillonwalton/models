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llonwalton/Desktop/business/models/"/>
    </mc:Choice>
  </mc:AlternateContent>
  <xr:revisionPtr revIDLastSave="0" documentId="13_ncr:1_{DCFB999D-7B95-B546-ADB7-F193B9B15480}" xr6:coauthVersionLast="47" xr6:coauthVersionMax="47" xr10:uidLastSave="{00000000-0000-0000-0000-000000000000}"/>
  <bookViews>
    <workbookView xWindow="20" yWindow="760" windowWidth="17000" windowHeight="16940" activeTab="1" xr2:uid="{A9783F60-192C-EF49-B653-EB874A40C134}"/>
  </bookViews>
  <sheets>
    <sheet name="Main" sheetId="1" r:id="rId1"/>
    <sheet name="Model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46" i="2" l="1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D46" i="2"/>
  <c r="E46" i="2"/>
  <c r="F46" i="2"/>
  <c r="G46" i="2"/>
  <c r="H46" i="2"/>
  <c r="I46" i="2"/>
  <c r="J46" i="2"/>
  <c r="K46" i="2"/>
  <c r="L46" i="2"/>
  <c r="D47" i="2"/>
  <c r="E47" i="2"/>
  <c r="F47" i="2"/>
  <c r="G47" i="2"/>
  <c r="H47" i="2"/>
  <c r="I47" i="2"/>
  <c r="J47" i="2"/>
  <c r="K47" i="2"/>
  <c r="L47" i="2"/>
  <c r="D48" i="2"/>
  <c r="E48" i="2"/>
  <c r="F48" i="2"/>
  <c r="G48" i="2"/>
  <c r="H48" i="2"/>
  <c r="I48" i="2"/>
  <c r="J48" i="2"/>
  <c r="K48" i="2"/>
  <c r="L48" i="2"/>
  <c r="D49" i="2"/>
  <c r="E49" i="2"/>
  <c r="F49" i="2"/>
  <c r="G49" i="2"/>
  <c r="H49" i="2"/>
  <c r="I49" i="2"/>
  <c r="J49" i="2"/>
  <c r="K49" i="2"/>
  <c r="L49" i="2"/>
  <c r="C47" i="2"/>
  <c r="C48" i="2"/>
  <c r="C49" i="2"/>
  <c r="C46" i="2"/>
  <c r="V27" i="2"/>
  <c r="V28" i="2"/>
  <c r="V29" i="2"/>
  <c r="V26" i="2"/>
  <c r="U27" i="2"/>
  <c r="U28" i="2"/>
  <c r="U29" i="2"/>
  <c r="U26" i="2"/>
  <c r="E30" i="2"/>
  <c r="E36" i="2" s="1"/>
  <c r="F30" i="2"/>
  <c r="F36" i="2" s="1"/>
  <c r="F40" i="2" s="1"/>
  <c r="F52" i="2" s="1"/>
  <c r="C30" i="2"/>
  <c r="C36" i="2" s="1"/>
  <c r="C40" i="2" s="1"/>
  <c r="C52" i="2" s="1"/>
  <c r="D30" i="2"/>
  <c r="D36" i="2" s="1"/>
  <c r="I30" i="2"/>
  <c r="I36" i="2" s="1"/>
  <c r="G30" i="2"/>
  <c r="G36" i="2" s="1"/>
  <c r="J30" i="2"/>
  <c r="J36" i="2" s="1"/>
  <c r="H30" i="2"/>
  <c r="H21" i="2" s="1"/>
  <c r="D24" i="2" l="1"/>
  <c r="I23" i="2"/>
  <c r="E23" i="2"/>
  <c r="C22" i="2"/>
  <c r="D23" i="2"/>
  <c r="C21" i="2"/>
  <c r="D22" i="2"/>
  <c r="I22" i="2"/>
  <c r="C24" i="2"/>
  <c r="J21" i="2"/>
  <c r="J22" i="2"/>
  <c r="C23" i="2"/>
  <c r="I21" i="2"/>
  <c r="F24" i="2"/>
  <c r="G21" i="2"/>
  <c r="I24" i="2"/>
  <c r="H23" i="2"/>
  <c r="G22" i="2"/>
  <c r="F21" i="2"/>
  <c r="E24" i="2"/>
  <c r="J24" i="2"/>
  <c r="H22" i="2"/>
  <c r="H24" i="2"/>
  <c r="G23" i="2"/>
  <c r="F22" i="2"/>
  <c r="E21" i="2"/>
  <c r="J23" i="2"/>
  <c r="G24" i="2"/>
  <c r="F23" i="2"/>
  <c r="E22" i="2"/>
  <c r="D21" i="2"/>
  <c r="E40" i="2"/>
  <c r="E52" i="2" s="1"/>
  <c r="E51" i="2"/>
  <c r="U30" i="2"/>
  <c r="C51" i="2"/>
  <c r="F51" i="2"/>
  <c r="V30" i="2"/>
  <c r="D40" i="2"/>
  <c r="D52" i="2" s="1"/>
  <c r="D51" i="2"/>
  <c r="J40" i="2"/>
  <c r="J52" i="2" s="1"/>
  <c r="J51" i="2"/>
  <c r="G51" i="2"/>
  <c r="G40" i="2"/>
  <c r="G52" i="2" s="1"/>
  <c r="I40" i="2"/>
  <c r="I52" i="2" s="1"/>
  <c r="I51" i="2"/>
  <c r="K37" i="2"/>
  <c r="K30" i="2"/>
  <c r="L30" i="2"/>
  <c r="K8" i="1"/>
  <c r="K7" i="1"/>
  <c r="K6" i="1"/>
  <c r="K5" i="1"/>
  <c r="L23" i="2" l="1"/>
  <c r="L22" i="2"/>
  <c r="L24" i="2"/>
  <c r="L21" i="2"/>
  <c r="K23" i="2"/>
  <c r="K24" i="2"/>
  <c r="K21" i="2"/>
  <c r="K22" i="2"/>
  <c r="H36" i="2"/>
  <c r="K36" i="2"/>
  <c r="L36" i="2"/>
  <c r="L40" i="2" l="1"/>
  <c r="L52" i="2" s="1"/>
  <c r="L51" i="2"/>
  <c r="K51" i="2"/>
  <c r="K40" i="2"/>
  <c r="K52" i="2" s="1"/>
  <c r="H51" i="2"/>
  <c r="H40" i="2"/>
  <c r="H5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VAE Ventures</author>
  </authors>
  <commentList>
    <comment ref="E3" authorId="0" shapeId="0" xr:uid="{ADE44D27-8ED5-8546-9775-6A086F0F5ABA}">
      <text>
        <r>
          <rPr>
            <b/>
            <sz val="10"/>
            <color rgb="FF000000"/>
            <rFont val="Tahoma"/>
            <family val="2"/>
          </rPr>
          <t>VAE Ventures: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High temperature solid oxide fuel cell (fuel -&gt; electriicity)</t>
        </r>
      </text>
    </comment>
    <comment ref="K6" authorId="0" shapeId="0" xr:uid="{B5D4356B-75F9-B34D-8DB5-2815F3145C0D}">
      <text>
        <r>
          <rPr>
            <b/>
            <sz val="10"/>
            <color rgb="FF000000"/>
            <rFont val="Tahoma"/>
            <family val="2"/>
          </rPr>
          <t>VAE Ventures: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Investments in unconsolidated affiliates...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VAE Ventures</author>
  </authors>
  <commentList>
    <comment ref="B11" authorId="0" shapeId="0" xr:uid="{A9D2441D-108E-2747-91C5-0397C0B969E2}">
      <text>
        <r>
          <rPr>
            <b/>
            <sz val="10"/>
            <color rgb="FF000000"/>
            <rFont val="Tahoma"/>
            <family val="2"/>
          </rPr>
          <t>VAE Ventures: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Began operations in 2018</t>
        </r>
      </text>
    </comment>
  </commentList>
</comments>
</file>

<file path=xl/sharedStrings.xml><?xml version="1.0" encoding="utf-8"?>
<sst xmlns="http://schemas.openxmlformats.org/spreadsheetml/2006/main" count="67" uniqueCount="60">
  <si>
    <t>Price</t>
  </si>
  <si>
    <t>S / O</t>
  </si>
  <si>
    <t>Mkt Cap</t>
  </si>
  <si>
    <t>Cash</t>
  </si>
  <si>
    <t>Debt</t>
  </si>
  <si>
    <t>EV</t>
  </si>
  <si>
    <t>Revenue</t>
  </si>
  <si>
    <t>Q124</t>
  </si>
  <si>
    <t>Q224</t>
  </si>
  <si>
    <t>Q324</t>
  </si>
  <si>
    <t>Q125</t>
  </si>
  <si>
    <t>Q225</t>
  </si>
  <si>
    <t>Q325</t>
  </si>
  <si>
    <t>Q425</t>
  </si>
  <si>
    <t>Q126</t>
  </si>
  <si>
    <t>Q226</t>
  </si>
  <si>
    <t>Q326</t>
  </si>
  <si>
    <t>Q426</t>
  </si>
  <si>
    <t>Q127</t>
  </si>
  <si>
    <t>Q227</t>
  </si>
  <si>
    <t>Q327</t>
  </si>
  <si>
    <t>Q427</t>
  </si>
  <si>
    <t>Gross Profit</t>
  </si>
  <si>
    <t>Gross Margin</t>
  </si>
  <si>
    <t>Operating Income</t>
  </si>
  <si>
    <t>Operating Margin</t>
  </si>
  <si>
    <t>Product</t>
  </si>
  <si>
    <t>Installation</t>
  </si>
  <si>
    <t>Service</t>
  </si>
  <si>
    <t>Electricity</t>
  </si>
  <si>
    <t>R&amp;D</t>
  </si>
  <si>
    <t>S&amp;M</t>
  </si>
  <si>
    <t>G&amp;A</t>
  </si>
  <si>
    <t>Tax</t>
  </si>
  <si>
    <t>EBT</t>
  </si>
  <si>
    <t>Net Profit</t>
  </si>
  <si>
    <t>Other income (loss)</t>
  </si>
  <si>
    <t>Q424</t>
  </si>
  <si>
    <t>Bloom Energy Server Fuel cell system</t>
  </si>
  <si>
    <t>Generation</t>
  </si>
  <si>
    <t>Bloom Electrolyzer</t>
  </si>
  <si>
    <t>Producing hydrogen</t>
  </si>
  <si>
    <t>Headcount</t>
  </si>
  <si>
    <t>Energy Server Systems Deployed</t>
  </si>
  <si>
    <t>Countries</t>
  </si>
  <si>
    <t>Product margin</t>
  </si>
  <si>
    <t>Installation margin</t>
  </si>
  <si>
    <t>Service margin</t>
  </si>
  <si>
    <t>Electricity margin</t>
  </si>
  <si>
    <t>Product % of rev</t>
  </si>
  <si>
    <t>Installation % of rev</t>
  </si>
  <si>
    <t>Service % of rev</t>
  </si>
  <si>
    <t>Electricity % of rev</t>
  </si>
  <si>
    <t>Data Centers</t>
  </si>
  <si>
    <t>C&amp;I</t>
  </si>
  <si>
    <t>Utilities</t>
  </si>
  <si>
    <t>US</t>
  </si>
  <si>
    <t>South korea</t>
  </si>
  <si>
    <t>US headcount</t>
  </si>
  <si>
    <t>International headcount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</si>
</sst>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3" fontId="0" fillId="0" borderId="0" xfId="0" applyNumberFormat="1"/>
    <xf numFmtId="9" fontId="0" fillId="0" borderId="0" xfId="0" applyNumberFormat="1"/>
    <xf numFmtId="0" fontId="3" fillId="0" borderId="0" xfId="0" applyFont="1"/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25400</xdr:colOff>
      <xdr:row>0</xdr:row>
      <xdr:rowOff>114300</xdr:rowOff>
    </xdr:from>
    <xdr:to>
      <xdr:col>12</xdr:col>
      <xdr:colOff>25400</xdr:colOff>
      <xdr:row>74</xdr:row>
      <xdr:rowOff>139700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24FF4BD-3A17-5991-8733-E085913DD518}"/>
            </a:ext>
          </a:extLst>
        </xdr:cNvPr>
        <xdr:cNvCxnSpPr/>
      </xdr:nvCxnSpPr>
      <xdr:spPr>
        <a:xfrm>
          <a:off x="9105900" y="114300"/>
          <a:ext cx="0" cy="71374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sec.gov/Archives/edgar/data/1664703/000162828026050150/ex991_q226financialresults.htm" TargetMode="External"/><Relationship Id="rId7" Type="http://schemas.openxmlformats.org/officeDocument/2006/relationships/hyperlink" Target="https://www.sec.gov/Archives/edgar/data/1664703/000162828024046303/ex991_q32024financialresul.htm" TargetMode="External"/><Relationship Id="rId2" Type="http://schemas.openxmlformats.org/officeDocument/2006/relationships/hyperlink" Target="https://www.sec.gov/Archives/edgar/data/1664703/000162828026005798/ex991_q42025financialresul.htm" TargetMode="External"/><Relationship Id="rId1" Type="http://schemas.openxmlformats.org/officeDocument/2006/relationships/hyperlink" Target="https://www.sec.gov/Archives/edgar/data/1664703/000162828025036998/ex991_q22025financialresul.htm" TargetMode="External"/><Relationship Id="rId6" Type="http://schemas.openxmlformats.org/officeDocument/2006/relationships/hyperlink" Target="https://www.sec.gov/Archives/edgar/data/1664703/000162828025008626/ex991_q42024financialresul.htm" TargetMode="External"/><Relationship Id="rId5" Type="http://schemas.openxmlformats.org/officeDocument/2006/relationships/hyperlink" Target="https://www.sec.gov/Archives/edgar/data/1664703/000162828025021092/ex991_q12025financialresul.htm" TargetMode="External"/><Relationship Id="rId10" Type="http://schemas.openxmlformats.org/officeDocument/2006/relationships/comments" Target="../comments2.xml"/><Relationship Id="rId4" Type="http://schemas.openxmlformats.org/officeDocument/2006/relationships/hyperlink" Target="https://www.sec.gov/Archives/edgar/data/1664703/000162828026027913/ex991_q126financialresults.htm" TargetMode="External"/><Relationship Id="rId9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6C95D-561E-2848-93D4-760DA66CF86C}">
  <dimension ref="E3:L8"/>
  <sheetViews>
    <sheetView topLeftCell="B1" workbookViewId="0">
      <selection activeCell="F7" sqref="F7"/>
    </sheetView>
  </sheetViews>
  <sheetFormatPr baseColWidth="10" defaultRowHeight="16" x14ac:dyDescent="0.2"/>
  <cols>
    <col min="5" max="5" width="32.1640625" bestFit="1" customWidth="1"/>
    <col min="6" max="6" width="17" bestFit="1" customWidth="1"/>
  </cols>
  <sheetData>
    <row r="3" spans="5:12" x14ac:dyDescent="0.2">
      <c r="E3" s="3" t="s">
        <v>38</v>
      </c>
      <c r="F3" t="s">
        <v>39</v>
      </c>
      <c r="J3" t="s">
        <v>0</v>
      </c>
      <c r="K3">
        <v>204.02</v>
      </c>
    </row>
    <row r="4" spans="5:12" x14ac:dyDescent="0.2">
      <c r="E4" t="s">
        <v>40</v>
      </c>
      <c r="F4" t="s">
        <v>41</v>
      </c>
      <c r="J4" t="s">
        <v>1</v>
      </c>
      <c r="K4" s="1">
        <v>294527.34600000002</v>
      </c>
      <c r="L4" t="s">
        <v>15</v>
      </c>
    </row>
    <row r="5" spans="5:12" x14ac:dyDescent="0.2">
      <c r="J5" t="s">
        <v>2</v>
      </c>
      <c r="K5" s="1">
        <f>K4*K3</f>
        <v>60089469.130920008</v>
      </c>
    </row>
    <row r="6" spans="5:12" x14ac:dyDescent="0.2">
      <c r="J6" t="s">
        <v>3</v>
      </c>
      <c r="K6" s="1">
        <f>2666.859+28.09</f>
        <v>2694.9490000000001</v>
      </c>
      <c r="L6" t="s">
        <v>15</v>
      </c>
    </row>
    <row r="7" spans="5:12" x14ac:dyDescent="0.2">
      <c r="J7" t="s">
        <v>4</v>
      </c>
      <c r="K7" s="1">
        <f>4.686+2470.704</f>
        <v>2475.3900000000003</v>
      </c>
      <c r="L7" t="s">
        <v>15</v>
      </c>
    </row>
    <row r="8" spans="5:12" x14ac:dyDescent="0.2">
      <c r="J8" t="s">
        <v>5</v>
      </c>
      <c r="K8" s="1">
        <f>K5-K6+K7</f>
        <v>60089249.571920007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7143C-4B46-1145-8926-BC951BDCF94E}">
  <dimension ref="B2:AK52"/>
  <sheetViews>
    <sheetView tabSelected="1" workbookViewId="0">
      <pane xSplit="2" ySplit="2" topLeftCell="Q25" activePane="bottomRight" state="frozen"/>
      <selection pane="topRight" activeCell="C1" sqref="C1"/>
      <selection pane="bottomLeft" activeCell="A3" sqref="A3"/>
      <selection pane="bottomRight" activeCell="T44" sqref="T44"/>
    </sheetView>
  </sheetViews>
  <sheetFormatPr baseColWidth="10" defaultRowHeight="16" x14ac:dyDescent="0.2"/>
  <cols>
    <col min="2" max="2" width="22.1640625" customWidth="1"/>
  </cols>
  <sheetData>
    <row r="2" spans="2:37" x14ac:dyDescent="0.2">
      <c r="C2" t="s">
        <v>7</v>
      </c>
      <c r="D2" t="s">
        <v>8</v>
      </c>
      <c r="E2" s="7" t="s">
        <v>9</v>
      </c>
      <c r="F2" s="7" t="s">
        <v>37</v>
      </c>
      <c r="G2" s="7" t="s">
        <v>10</v>
      </c>
      <c r="H2" s="7" t="s">
        <v>11</v>
      </c>
      <c r="I2" t="s">
        <v>12</v>
      </c>
      <c r="J2" s="7" t="s">
        <v>13</v>
      </c>
      <c r="K2" s="7" t="s">
        <v>14</v>
      </c>
      <c r="L2" s="7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U2">
        <v>2024</v>
      </c>
      <c r="V2">
        <v>2025</v>
      </c>
      <c r="W2">
        <v>2026</v>
      </c>
      <c r="X2">
        <v>2027</v>
      </c>
      <c r="Y2">
        <v>2028</v>
      </c>
      <c r="Z2">
        <v>2029</v>
      </c>
      <c r="AA2">
        <v>2030</v>
      </c>
      <c r="AB2">
        <v>2031</v>
      </c>
      <c r="AC2">
        <v>2032</v>
      </c>
      <c r="AD2">
        <v>2033</v>
      </c>
      <c r="AE2">
        <v>2034</v>
      </c>
      <c r="AF2">
        <v>2035</v>
      </c>
      <c r="AG2">
        <v>2036</v>
      </c>
      <c r="AH2">
        <v>2037</v>
      </c>
      <c r="AI2">
        <v>2038</v>
      </c>
      <c r="AJ2">
        <v>2039</v>
      </c>
      <c r="AK2">
        <v>2040</v>
      </c>
    </row>
    <row r="5" spans="2:37" x14ac:dyDescent="0.2">
      <c r="B5" t="s">
        <v>59</v>
      </c>
    </row>
    <row r="6" spans="2:37" x14ac:dyDescent="0.2">
      <c r="B6" t="s">
        <v>58</v>
      </c>
      <c r="J6">
        <v>1752</v>
      </c>
    </row>
    <row r="7" spans="2:37" x14ac:dyDescent="0.2">
      <c r="B7" t="s">
        <v>42</v>
      </c>
      <c r="J7">
        <v>2214</v>
      </c>
    </row>
    <row r="8" spans="2:37" x14ac:dyDescent="0.2">
      <c r="B8" t="s">
        <v>43</v>
      </c>
      <c r="J8">
        <v>1100</v>
      </c>
    </row>
    <row r="10" spans="2:37" x14ac:dyDescent="0.2">
      <c r="B10" t="s">
        <v>56</v>
      </c>
    </row>
    <row r="11" spans="2:37" x14ac:dyDescent="0.2">
      <c r="B11" t="s">
        <v>57</v>
      </c>
    </row>
    <row r="12" spans="2:37" x14ac:dyDescent="0.2">
      <c r="B12" t="s">
        <v>44</v>
      </c>
      <c r="J12">
        <v>9</v>
      </c>
    </row>
    <row r="14" spans="2:37" x14ac:dyDescent="0.2">
      <c r="B14" t="s">
        <v>53</v>
      </c>
    </row>
    <row r="15" spans="2:37" x14ac:dyDescent="0.2">
      <c r="B15" t="s">
        <v>54</v>
      </c>
    </row>
    <row r="16" spans="2:37" x14ac:dyDescent="0.2">
      <c r="B16" t="s">
        <v>55</v>
      </c>
    </row>
    <row r="21" spans="2:22" x14ac:dyDescent="0.2">
      <c r="B21" t="s">
        <v>49</v>
      </c>
      <c r="C21" s="2">
        <f>C26/C$30</f>
        <v>0.65178624552694886</v>
      </c>
      <c r="D21" s="2">
        <f t="shared" ref="D21:L21" si="0">D26/D$30</f>
        <v>0.67400310334249647</v>
      </c>
      <c r="E21" s="2">
        <f t="shared" si="0"/>
        <v>0.70744210819382403</v>
      </c>
      <c r="F21" s="2">
        <f t="shared" si="0"/>
        <v>0.82410336953806207</v>
      </c>
      <c r="G21" s="2">
        <f t="shared" si="0"/>
        <v>0.6498630456320299</v>
      </c>
      <c r="H21" s="2">
        <f t="shared" si="0"/>
        <v>0.73923218406846736</v>
      </c>
      <c r="I21" s="2">
        <f t="shared" si="0"/>
        <v>0.74042092446170682</v>
      </c>
      <c r="J21" s="2">
        <f t="shared" si="0"/>
        <v>0.82101190330764584</v>
      </c>
      <c r="K21" s="2">
        <f t="shared" si="0"/>
        <v>0.8699081557384688</v>
      </c>
      <c r="L21" s="2">
        <f t="shared" si="0"/>
        <v>0.87802114768178041</v>
      </c>
    </row>
    <row r="22" spans="2:22" x14ac:dyDescent="0.2">
      <c r="B22" t="s">
        <v>50</v>
      </c>
      <c r="C22" s="2">
        <f t="shared" ref="C22:L24" si="1">C27/C$30</f>
        <v>4.8636197502741209E-2</v>
      </c>
      <c r="D22" s="2">
        <f t="shared" si="1"/>
        <v>0.12726980316707717</v>
      </c>
      <c r="E22" s="2">
        <f t="shared" si="1"/>
        <v>9.6996767984893054E-2</v>
      </c>
      <c r="F22" s="2">
        <f t="shared" si="1"/>
        <v>6.3049338478982087E-2</v>
      </c>
      <c r="G22" s="2">
        <f t="shared" si="1"/>
        <v>0.10321727741464509</v>
      </c>
      <c r="H22" s="2">
        <f t="shared" si="1"/>
        <v>9.3140797822760329E-2</v>
      </c>
      <c r="I22" s="2">
        <f t="shared" si="1"/>
        <v>0.12671853084878468</v>
      </c>
      <c r="J22" s="2">
        <f t="shared" si="1"/>
        <v>8.6503112450702926E-2</v>
      </c>
      <c r="K22" s="2">
        <f t="shared" si="1"/>
        <v>3.4526145922929644E-2</v>
      </c>
      <c r="L22" s="2">
        <f t="shared" si="1"/>
        <v>4.785026727928926E-2</v>
      </c>
    </row>
    <row r="23" spans="2:22" x14ac:dyDescent="0.2">
      <c r="B23" t="s">
        <v>51</v>
      </c>
      <c r="C23" s="2">
        <f t="shared" si="1"/>
        <v>0.23995104080782667</v>
      </c>
      <c r="D23" s="2">
        <f t="shared" si="1"/>
        <v>0.15645075305196759</v>
      </c>
      <c r="E23" s="2">
        <f t="shared" si="1"/>
        <v>0.15361453075256321</v>
      </c>
      <c r="F23" s="2">
        <f t="shared" si="1"/>
        <v>9.3973895557772358E-2</v>
      </c>
      <c r="G23" s="2">
        <f t="shared" si="1"/>
        <v>0.16424708837774257</v>
      </c>
      <c r="H23" s="2">
        <f t="shared" si="1"/>
        <v>0.13570114793565977</v>
      </c>
      <c r="I23" s="2">
        <f t="shared" si="1"/>
        <v>0.11291248593579013</v>
      </c>
      <c r="J23" s="2">
        <f t="shared" si="1"/>
        <v>7.9326666520934633E-2</v>
      </c>
      <c r="K23" s="2">
        <f t="shared" si="1"/>
        <v>8.2389548554431508E-2</v>
      </c>
      <c r="L23" s="2">
        <f t="shared" si="1"/>
        <v>6.4788124257883439E-2</v>
      </c>
    </row>
    <row r="24" spans="2:22" x14ac:dyDescent="0.2">
      <c r="B24" t="s">
        <v>52</v>
      </c>
      <c r="C24" s="2">
        <f t="shared" si="1"/>
        <v>5.9626516162483316E-2</v>
      </c>
      <c r="D24" s="2">
        <f t="shared" si="1"/>
        <v>4.2276340438458813E-2</v>
      </c>
      <c r="E24" s="2">
        <f t="shared" si="1"/>
        <v>4.1946593068719659E-2</v>
      </c>
      <c r="F24" s="2">
        <f t="shared" si="1"/>
        <v>1.8873396425183396E-2</v>
      </c>
      <c r="G24" s="2">
        <f t="shared" si="1"/>
        <v>8.2672588575582559E-2</v>
      </c>
      <c r="H24" s="2">
        <f t="shared" si="1"/>
        <v>3.1925870173112485E-2</v>
      </c>
      <c r="I24" s="2">
        <f t="shared" si="1"/>
        <v>1.9948058753718346E-2</v>
      </c>
      <c r="J24" s="2">
        <f t="shared" si="1"/>
        <v>1.315831772071654E-2</v>
      </c>
      <c r="K24" s="2">
        <f t="shared" si="1"/>
        <v>1.3176149784169981E-2</v>
      </c>
      <c r="L24" s="2">
        <f t="shared" si="1"/>
        <v>9.3404607810468714E-3</v>
      </c>
    </row>
    <row r="26" spans="2:22" x14ac:dyDescent="0.2">
      <c r="B26" t="s">
        <v>26</v>
      </c>
      <c r="C26" s="1">
        <v>153.364</v>
      </c>
      <c r="D26" s="1">
        <v>226.30799999999999</v>
      </c>
      <c r="E26" s="1">
        <v>233.77</v>
      </c>
      <c r="F26" s="1">
        <v>471.71100000000001</v>
      </c>
      <c r="G26" s="1">
        <v>211.869</v>
      </c>
      <c r="H26" s="1">
        <v>296.61099999999999</v>
      </c>
      <c r="I26" s="1">
        <v>384.31400000000002</v>
      </c>
      <c r="J26" s="1">
        <v>638.48699999999997</v>
      </c>
      <c r="K26" s="1">
        <v>653.34799999999996</v>
      </c>
      <c r="L26" s="1">
        <v>935.41300000000001</v>
      </c>
      <c r="U26" s="1">
        <f>SUM(C26:F26)</f>
        <v>1085.153</v>
      </c>
      <c r="V26" s="1">
        <f>SUM(G26:J26)</f>
        <v>1531.2809999999999</v>
      </c>
    </row>
    <row r="27" spans="2:22" x14ac:dyDescent="0.2">
      <c r="B27" t="s">
        <v>27</v>
      </c>
      <c r="C27" s="1">
        <v>11.444000000000001</v>
      </c>
      <c r="D27" s="1">
        <v>42.732999999999997</v>
      </c>
      <c r="E27" s="1">
        <v>32.052</v>
      </c>
      <c r="F27" s="1">
        <v>36.088999999999999</v>
      </c>
      <c r="G27" s="1">
        <v>33.651000000000003</v>
      </c>
      <c r="H27" s="1">
        <v>37.372</v>
      </c>
      <c r="I27" s="1">
        <v>65.772999999999996</v>
      </c>
      <c r="J27" s="1">
        <v>67.272000000000006</v>
      </c>
      <c r="K27" s="1">
        <v>25.931000000000001</v>
      </c>
      <c r="L27" s="1">
        <v>50.978000000000002</v>
      </c>
      <c r="U27" s="1">
        <f t="shared" ref="U27:U30" si="2">SUM(C27:F27)</f>
        <v>122.318</v>
      </c>
      <c r="V27" s="1">
        <f t="shared" ref="V27:V30" si="3">SUM(G27:J27)</f>
        <v>204.06799999999998</v>
      </c>
    </row>
    <row r="28" spans="2:22" x14ac:dyDescent="0.2">
      <c r="B28" t="s">
        <v>28</v>
      </c>
      <c r="C28" s="1">
        <v>56.46</v>
      </c>
      <c r="D28" s="1">
        <v>52.530999999999999</v>
      </c>
      <c r="E28" s="1">
        <v>50.761000000000003</v>
      </c>
      <c r="F28" s="1">
        <v>53.79</v>
      </c>
      <c r="G28" s="1">
        <v>53.548000000000002</v>
      </c>
      <c r="H28" s="1">
        <v>54.448999999999998</v>
      </c>
      <c r="I28" s="1">
        <v>58.606999999999999</v>
      </c>
      <c r="J28" s="1">
        <v>61.691000000000003</v>
      </c>
      <c r="K28" s="1">
        <v>61.878999999999998</v>
      </c>
      <c r="L28" s="1">
        <v>69.022999999999996</v>
      </c>
      <c r="U28" s="1">
        <f t="shared" si="2"/>
        <v>213.542</v>
      </c>
      <c r="V28" s="1">
        <f t="shared" si="3"/>
        <v>228.29499999999999</v>
      </c>
    </row>
    <row r="29" spans="2:22" x14ac:dyDescent="0.2">
      <c r="B29" t="s">
        <v>29</v>
      </c>
      <c r="C29" s="1">
        <v>14.03</v>
      </c>
      <c r="D29" s="1">
        <v>14.195</v>
      </c>
      <c r="E29" s="1">
        <v>13.861000000000001</v>
      </c>
      <c r="F29" s="1">
        <v>10.803000000000001</v>
      </c>
      <c r="G29" s="1">
        <v>26.952999999999999</v>
      </c>
      <c r="H29" s="1">
        <v>12.81</v>
      </c>
      <c r="I29" s="1">
        <v>10.353999999999999</v>
      </c>
      <c r="J29" s="1">
        <v>10.233000000000001</v>
      </c>
      <c r="K29" s="1">
        <v>9.8960000000000008</v>
      </c>
      <c r="L29" s="1">
        <v>9.9510000000000005</v>
      </c>
      <c r="U29" s="1">
        <f t="shared" si="2"/>
        <v>52.888999999999996</v>
      </c>
      <c r="V29" s="1">
        <f t="shared" si="3"/>
        <v>60.349999999999994</v>
      </c>
    </row>
    <row r="30" spans="2:22" s="3" customFormat="1" x14ac:dyDescent="0.2">
      <c r="B30" s="3" t="s">
        <v>6</v>
      </c>
      <c r="C30" s="4">
        <f>SUM(C26:C29)</f>
        <v>235.298</v>
      </c>
      <c r="D30" s="4">
        <f>SUM(D26:D29)</f>
        <v>335.767</v>
      </c>
      <c r="E30" s="4">
        <f>SUM(E26:E29)</f>
        <v>330.44400000000002</v>
      </c>
      <c r="F30" s="4">
        <f>SUM(F26:F29)</f>
        <v>572.39300000000003</v>
      </c>
      <c r="G30" s="4">
        <f>SUM(G26:G29)</f>
        <v>326.02099999999996</v>
      </c>
      <c r="H30" s="4">
        <f>SUM(H26:H29)</f>
        <v>401.24200000000002</v>
      </c>
      <c r="I30" s="4">
        <f>SUM(I26:I29)</f>
        <v>519.048</v>
      </c>
      <c r="J30" s="4">
        <f>SUM(J26:J29)</f>
        <v>777.68299999999999</v>
      </c>
      <c r="K30" s="4">
        <f>SUM(K26:K29)</f>
        <v>751.05399999999997</v>
      </c>
      <c r="L30" s="4">
        <f>SUM(L26:L29)</f>
        <v>1065.365</v>
      </c>
      <c r="U30" s="4">
        <f t="shared" si="2"/>
        <v>1473.902</v>
      </c>
      <c r="V30" s="4">
        <f t="shared" si="3"/>
        <v>2023.9939999999999</v>
      </c>
    </row>
    <row r="31" spans="2:22" s="3" customFormat="1" x14ac:dyDescent="0.2">
      <c r="C31" s="4"/>
      <c r="D31" s="4"/>
      <c r="E31" s="4"/>
      <c r="F31" s="4"/>
      <c r="G31" s="4"/>
      <c r="H31" s="4"/>
      <c r="I31" s="4"/>
      <c r="J31" s="4"/>
      <c r="K31" s="4"/>
      <c r="L31" s="4"/>
    </row>
    <row r="32" spans="2:22" s="6" customFormat="1" x14ac:dyDescent="0.2">
      <c r="B32" s="6" t="s">
        <v>26</v>
      </c>
      <c r="C32" s="5">
        <v>115.75700000000001</v>
      </c>
      <c r="D32" s="5">
        <v>161.33199999999999</v>
      </c>
      <c r="E32" s="5">
        <v>155.124</v>
      </c>
      <c r="F32" s="5">
        <v>253.63399999999999</v>
      </c>
      <c r="G32" s="5">
        <v>139.57300000000001</v>
      </c>
      <c r="H32" s="5">
        <v>198.74600000000001</v>
      </c>
      <c r="I32" s="5">
        <v>249.79400000000001</v>
      </c>
      <c r="J32" s="5">
        <v>404.72800000000001</v>
      </c>
      <c r="K32" s="5">
        <v>429.23200000000003</v>
      </c>
      <c r="L32" s="5">
        <v>593.95699999999999</v>
      </c>
      <c r="U32" s="1">
        <f>SUM(C32:F32)</f>
        <v>685.84699999999998</v>
      </c>
    </row>
    <row r="33" spans="2:21" s="3" customFormat="1" x14ac:dyDescent="0.2">
      <c r="B33" t="s">
        <v>27</v>
      </c>
      <c r="C33" s="5">
        <v>15.353</v>
      </c>
      <c r="D33" s="5">
        <v>44.298000000000002</v>
      </c>
      <c r="E33" s="5">
        <v>35.688000000000002</v>
      </c>
      <c r="F33" s="5">
        <v>34.106999999999999</v>
      </c>
      <c r="G33" s="5">
        <v>33.314999999999998</v>
      </c>
      <c r="H33" s="5">
        <v>38.223999999999997</v>
      </c>
      <c r="I33" s="5">
        <v>59.920999999999999</v>
      </c>
      <c r="J33" s="5">
        <v>74.486000000000004</v>
      </c>
      <c r="K33" s="5">
        <v>35.08</v>
      </c>
      <c r="L33" s="5">
        <v>52.829000000000001</v>
      </c>
      <c r="U33" s="1">
        <f t="shared" ref="U33:U36" si="4">SUM(C33:F33)</f>
        <v>129.446</v>
      </c>
    </row>
    <row r="34" spans="2:21" s="3" customFormat="1" x14ac:dyDescent="0.2">
      <c r="B34" t="s">
        <v>28</v>
      </c>
      <c r="C34" s="5">
        <v>56.506</v>
      </c>
      <c r="D34" s="5">
        <v>52.401000000000003</v>
      </c>
      <c r="E34" s="5">
        <v>51.363</v>
      </c>
      <c r="F34" s="5">
        <v>54.691000000000003</v>
      </c>
      <c r="G34" s="5">
        <v>52.857999999999997</v>
      </c>
      <c r="H34" s="5">
        <v>49.408000000000001</v>
      </c>
      <c r="I34" s="5">
        <v>51.834000000000003</v>
      </c>
      <c r="J34" s="5">
        <v>51.289000000000001</v>
      </c>
      <c r="K34" s="5">
        <v>53.664000000000001</v>
      </c>
      <c r="L34" s="5">
        <v>56.148000000000003</v>
      </c>
      <c r="U34" s="1">
        <f t="shared" si="4"/>
        <v>214.96100000000001</v>
      </c>
    </row>
    <row r="35" spans="2:21" s="3" customFormat="1" x14ac:dyDescent="0.2">
      <c r="B35" t="s">
        <v>29</v>
      </c>
      <c r="C35" s="5">
        <v>9.6059999999999999</v>
      </c>
      <c r="D35" s="5">
        <v>9.2140000000000004</v>
      </c>
      <c r="E35" s="5">
        <v>9.49</v>
      </c>
      <c r="F35" s="5">
        <v>10.644</v>
      </c>
      <c r="G35" s="5">
        <v>11.568</v>
      </c>
      <c r="H35" s="5">
        <v>7.7409999999999997</v>
      </c>
      <c r="I35" s="5">
        <v>5.8239999999999998</v>
      </c>
      <c r="J35" s="5">
        <v>7.2850000000000001</v>
      </c>
      <c r="K35" s="5">
        <v>7.5339999999999998</v>
      </c>
      <c r="L35" s="5">
        <v>6.859</v>
      </c>
      <c r="U35" s="1">
        <f t="shared" si="4"/>
        <v>38.954000000000001</v>
      </c>
    </row>
    <row r="36" spans="2:21" s="3" customFormat="1" x14ac:dyDescent="0.2">
      <c r="B36" s="3" t="s">
        <v>22</v>
      </c>
      <c r="C36" s="4">
        <f>C30-SUM(C32:C35)</f>
        <v>38.075999999999993</v>
      </c>
      <c r="D36" s="4">
        <f>D30-SUM(D32:D35)</f>
        <v>68.521999999999991</v>
      </c>
      <c r="E36" s="4">
        <f>E30-SUM(E32:E35)</f>
        <v>78.778999999999996</v>
      </c>
      <c r="F36" s="4">
        <f>F30-SUM(F32:F35)</f>
        <v>219.31700000000001</v>
      </c>
      <c r="G36" s="4">
        <f>G30-SUM(G32:G35)</f>
        <v>88.706999999999937</v>
      </c>
      <c r="H36" s="4">
        <f>H30-SUM(H32:H35)</f>
        <v>107.12300000000005</v>
      </c>
      <c r="I36" s="4">
        <f>I30-SUM(I32:I35)</f>
        <v>151.67499999999995</v>
      </c>
      <c r="J36" s="4">
        <f>J30-SUM(J32:J35)</f>
        <v>239.89499999999998</v>
      </c>
      <c r="K36" s="4">
        <f t="shared" ref="K36:L36" si="5">K30-SUM(K32:K35)</f>
        <v>225.54399999999998</v>
      </c>
      <c r="L36" s="4">
        <f t="shared" si="5"/>
        <v>355.572</v>
      </c>
      <c r="U36" s="4">
        <f t="shared" si="4"/>
        <v>404.69399999999996</v>
      </c>
    </row>
    <row r="37" spans="2:21" s="6" customFormat="1" x14ac:dyDescent="0.2">
      <c r="B37" s="6" t="s">
        <v>30</v>
      </c>
      <c r="C37" s="5">
        <v>35.484999999999999</v>
      </c>
      <c r="D37" s="5">
        <v>37.363999999999997</v>
      </c>
      <c r="E37" s="5">
        <v>36.314999999999998</v>
      </c>
      <c r="F37" s="5">
        <v>39.465000000000003</v>
      </c>
      <c r="G37" s="5">
        <v>40.612000000000002</v>
      </c>
      <c r="H37" s="5">
        <v>40.768000000000001</v>
      </c>
      <c r="I37" s="5">
        <v>48.723999999999997</v>
      </c>
      <c r="J37" s="5">
        <v>55.889000000000003</v>
      </c>
      <c r="K37" s="5">
        <f>56.849</f>
        <v>56.848999999999997</v>
      </c>
      <c r="L37" s="5">
        <v>58.872999999999998</v>
      </c>
      <c r="U37" s="1">
        <f>SUM(C37:F37)</f>
        <v>148.62899999999999</v>
      </c>
    </row>
    <row r="38" spans="2:21" s="6" customFormat="1" x14ac:dyDescent="0.2">
      <c r="B38" s="6" t="s">
        <v>31</v>
      </c>
      <c r="C38" s="5">
        <v>13.599</v>
      </c>
      <c r="D38" s="5">
        <v>17.901</v>
      </c>
      <c r="E38" s="5">
        <v>14.667</v>
      </c>
      <c r="F38" s="5">
        <v>21.838000000000001</v>
      </c>
      <c r="G38" s="5">
        <v>22.265000000000001</v>
      </c>
      <c r="H38" s="5">
        <v>24.065999999999999</v>
      </c>
      <c r="I38" s="5">
        <v>41.994999999999997</v>
      </c>
      <c r="J38" s="5">
        <v>41.902000000000001</v>
      </c>
      <c r="K38" s="5">
        <v>38.439</v>
      </c>
      <c r="L38" s="5">
        <v>43.045000000000002</v>
      </c>
      <c r="U38" s="1">
        <f t="shared" ref="U38:U41" si="6">SUM(C38:F38)</f>
        <v>68.004999999999995</v>
      </c>
    </row>
    <row r="39" spans="2:21" s="6" customFormat="1" x14ac:dyDescent="0.2">
      <c r="B39" s="6" t="s">
        <v>32</v>
      </c>
      <c r="C39" s="5">
        <v>38.009</v>
      </c>
      <c r="D39" s="5">
        <v>36.384999999999998</v>
      </c>
      <c r="E39" s="5">
        <v>37.402999999999999</v>
      </c>
      <c r="F39" s="5">
        <v>53.308</v>
      </c>
      <c r="G39" s="5">
        <v>44.9</v>
      </c>
      <c r="H39" s="5">
        <v>45.792000000000002</v>
      </c>
      <c r="I39" s="5">
        <v>53.11</v>
      </c>
      <c r="J39" s="5">
        <v>54.575000000000003</v>
      </c>
      <c r="K39" s="5">
        <v>58.066000000000003</v>
      </c>
      <c r="L39" s="5">
        <v>71.417000000000002</v>
      </c>
      <c r="U39" s="1">
        <f t="shared" si="6"/>
        <v>165.10499999999999</v>
      </c>
    </row>
    <row r="40" spans="2:21" s="3" customFormat="1" x14ac:dyDescent="0.2">
      <c r="B40" s="3" t="s">
        <v>24</v>
      </c>
      <c r="C40" s="4">
        <f>C36-SUM(C37:C39)</f>
        <v>-49.01700000000001</v>
      </c>
      <c r="D40" s="4">
        <f>D36-SUM(D37:D39)</f>
        <v>-23.128000000000014</v>
      </c>
      <c r="E40" s="4">
        <f>E36-SUM(E37:E39)</f>
        <v>-9.6059999999999945</v>
      </c>
      <c r="F40" s="4">
        <f>F36-SUM(F37:F39)</f>
        <v>104.706</v>
      </c>
      <c r="G40" s="4">
        <f>G36-SUM(G37:G39)</f>
        <v>-19.070000000000064</v>
      </c>
      <c r="H40" s="4">
        <f>H36-SUM(H37:H39)</f>
        <v>-3.5029999999999575</v>
      </c>
      <c r="I40" s="4">
        <f>I36-SUM(I37:I39)</f>
        <v>7.8459999999999468</v>
      </c>
      <c r="J40" s="4">
        <f t="shared" ref="J40:L40" si="7">J36-SUM(J37:J39)</f>
        <v>87.528999999999996</v>
      </c>
      <c r="K40" s="4">
        <f t="shared" si="7"/>
        <v>72.19</v>
      </c>
      <c r="L40" s="4">
        <f t="shared" si="7"/>
        <v>182.23699999999999</v>
      </c>
      <c r="U40" s="1">
        <f t="shared" si="6"/>
        <v>22.954999999999984</v>
      </c>
    </row>
    <row r="41" spans="2:21" s="3" customFormat="1" x14ac:dyDescent="0.2">
      <c r="B41" s="3" t="s">
        <v>36</v>
      </c>
      <c r="H41" s="4"/>
      <c r="I41" s="4"/>
      <c r="J41" s="4"/>
      <c r="K41" s="4"/>
      <c r="L41" s="4"/>
      <c r="U41" s="4">
        <f t="shared" si="6"/>
        <v>0</v>
      </c>
    </row>
    <row r="42" spans="2:21" x14ac:dyDescent="0.2">
      <c r="B42" s="6" t="s">
        <v>34</v>
      </c>
      <c r="U42" s="1">
        <f>SUM(C42:F42)</f>
        <v>0</v>
      </c>
    </row>
    <row r="43" spans="2:21" x14ac:dyDescent="0.2">
      <c r="B43" s="6" t="s">
        <v>33</v>
      </c>
      <c r="U43" s="1">
        <f t="shared" ref="U43:U46" si="8">SUM(C43:F43)</f>
        <v>0</v>
      </c>
    </row>
    <row r="44" spans="2:21" x14ac:dyDescent="0.2">
      <c r="B44" s="6" t="s">
        <v>35</v>
      </c>
      <c r="U44" s="1">
        <f t="shared" si="8"/>
        <v>0</v>
      </c>
    </row>
    <row r="45" spans="2:21" x14ac:dyDescent="0.2">
      <c r="U45" s="1"/>
    </row>
    <row r="46" spans="2:21" x14ac:dyDescent="0.2">
      <c r="B46" t="s">
        <v>45</v>
      </c>
      <c r="C46" s="2">
        <f>(C26-C32)/C26</f>
        <v>0.24521400067812524</v>
      </c>
      <c r="D46" s="2">
        <f t="shared" ref="D46:L46" si="9">(D26-D32)/D26</f>
        <v>0.28711313784753523</v>
      </c>
      <c r="E46" s="2">
        <f t="shared" si="9"/>
        <v>0.33642469093553495</v>
      </c>
      <c r="F46" s="2">
        <f t="shared" si="9"/>
        <v>0.46231060967414372</v>
      </c>
      <c r="G46" s="2">
        <f t="shared" si="9"/>
        <v>0.34122972213962399</v>
      </c>
      <c r="H46" s="2">
        <f t="shared" si="9"/>
        <v>0.32994393329984384</v>
      </c>
      <c r="I46" s="2">
        <f t="shared" si="9"/>
        <v>0.35002628059347307</v>
      </c>
      <c r="J46" s="2">
        <f t="shared" si="9"/>
        <v>0.3661139537688316</v>
      </c>
      <c r="K46" s="2">
        <f t="shared" si="9"/>
        <v>0.34302699327157954</v>
      </c>
      <c r="L46" s="2">
        <f t="shared" si="9"/>
        <v>0.36503234400206114</v>
      </c>
      <c r="U46" s="4">
        <f t="shared" si="8"/>
        <v>1.3310624391353392</v>
      </c>
    </row>
    <row r="47" spans="2:21" x14ac:dyDescent="0.2">
      <c r="B47" t="s">
        <v>46</v>
      </c>
      <c r="C47" s="2">
        <f t="shared" ref="C47:L49" si="10">(C27-C33)/C27</f>
        <v>-0.34157637189793766</v>
      </c>
      <c r="D47" s="2">
        <f t="shared" si="10"/>
        <v>-3.6622750567477241E-2</v>
      </c>
      <c r="E47" s="2">
        <f t="shared" si="10"/>
        <v>-0.11344065892924007</v>
      </c>
      <c r="F47" s="2">
        <f t="shared" si="10"/>
        <v>5.4919781650918549E-2</v>
      </c>
      <c r="G47" s="2">
        <f t="shared" si="10"/>
        <v>9.9848444325578919E-3</v>
      </c>
      <c r="H47" s="2">
        <f t="shared" si="10"/>
        <v>-2.279781654714751E-2</v>
      </c>
      <c r="I47" s="2">
        <f t="shared" si="10"/>
        <v>8.8972678758761151E-2</v>
      </c>
      <c r="J47" s="2">
        <f t="shared" si="10"/>
        <v>-0.10723629444642642</v>
      </c>
      <c r="K47" s="2">
        <f t="shared" si="10"/>
        <v>-0.35282094790019658</v>
      </c>
      <c r="L47" s="2">
        <f t="shared" si="10"/>
        <v>-3.6309780689709269E-2</v>
      </c>
    </row>
    <row r="48" spans="2:21" x14ac:dyDescent="0.2">
      <c r="B48" t="s">
        <v>47</v>
      </c>
      <c r="C48" s="2">
        <f t="shared" si="10"/>
        <v>-8.1473609635138817E-4</v>
      </c>
      <c r="D48" s="2">
        <f t="shared" si="10"/>
        <v>2.4747292075154759E-3</v>
      </c>
      <c r="E48" s="2">
        <f t="shared" si="10"/>
        <v>-1.1859498433836936E-2</v>
      </c>
      <c r="F48" s="2">
        <f t="shared" si="10"/>
        <v>-1.6750325339282456E-2</v>
      </c>
      <c r="G48" s="2">
        <f t="shared" si="10"/>
        <v>1.2885635317845761E-2</v>
      </c>
      <c r="H48" s="2">
        <f t="shared" si="10"/>
        <v>9.2582049257102922E-2</v>
      </c>
      <c r="I48" s="2">
        <f t="shared" si="10"/>
        <v>0.11556639991809846</v>
      </c>
      <c r="J48" s="2">
        <f t="shared" si="10"/>
        <v>0.16861454669238626</v>
      </c>
      <c r="K48" s="2">
        <f t="shared" si="10"/>
        <v>0.13275909436157657</v>
      </c>
      <c r="L48" s="2">
        <f t="shared" si="10"/>
        <v>0.1865320255566984</v>
      </c>
    </row>
    <row r="49" spans="2:12" x14ac:dyDescent="0.2">
      <c r="B49" t="s">
        <v>48</v>
      </c>
      <c r="C49" s="2">
        <f t="shared" si="10"/>
        <v>0.31532430506058445</v>
      </c>
      <c r="D49" s="2">
        <f t="shared" si="10"/>
        <v>0.35089820359281437</v>
      </c>
      <c r="E49" s="2">
        <f t="shared" si="10"/>
        <v>0.31534521318808167</v>
      </c>
      <c r="F49" s="2">
        <f t="shared" si="10"/>
        <v>1.4718133851707923E-2</v>
      </c>
      <c r="G49" s="2">
        <f t="shared" si="10"/>
        <v>0.57080844432901723</v>
      </c>
      <c r="H49" s="2">
        <f t="shared" si="10"/>
        <v>0.39570647931303676</v>
      </c>
      <c r="I49" s="2">
        <f t="shared" si="10"/>
        <v>0.43751207262893566</v>
      </c>
      <c r="J49" s="2">
        <f t="shared" si="10"/>
        <v>0.28808755985536988</v>
      </c>
      <c r="K49" s="2">
        <f t="shared" si="10"/>
        <v>0.23868229587712214</v>
      </c>
      <c r="L49" s="2">
        <f t="shared" si="10"/>
        <v>0.31072254044819619</v>
      </c>
    </row>
    <row r="51" spans="2:12" x14ac:dyDescent="0.2">
      <c r="B51" t="s">
        <v>23</v>
      </c>
      <c r="C51" s="2">
        <f t="shared" ref="C51:F51" si="11">C36/C30</f>
        <v>0.16182032996455556</v>
      </c>
      <c r="D51" s="2">
        <f>D36/D30</f>
        <v>0.20407604082592987</v>
      </c>
      <c r="E51" s="2">
        <f t="shared" ref="E51:F51" si="12">E36/E30</f>
        <v>0.23840348137657211</v>
      </c>
      <c r="F51" s="2">
        <f t="shared" si="12"/>
        <v>0.38315807495898796</v>
      </c>
      <c r="G51" s="2">
        <f>G36/G30</f>
        <v>0.2720898347038993</v>
      </c>
      <c r="H51" s="2">
        <f>H36/H30</f>
        <v>0.26697853165919827</v>
      </c>
      <c r="I51" s="2">
        <f>I36/I30</f>
        <v>0.2922176754365684</v>
      </c>
      <c r="J51" s="2">
        <f>J36/J30</f>
        <v>0.30847401833394839</v>
      </c>
      <c r="K51" s="2">
        <f t="shared" ref="K51:L51" si="13">K36/K30</f>
        <v>0.30030330708577546</v>
      </c>
      <c r="L51" s="2">
        <f t="shared" si="13"/>
        <v>0.33375603666349091</v>
      </c>
    </row>
    <row r="52" spans="2:12" x14ac:dyDescent="0.2">
      <c r="B52" t="s">
        <v>25</v>
      </c>
      <c r="C52" s="2">
        <f t="shared" ref="C52:F52" si="14">C40/C30</f>
        <v>-0.20831881273958983</v>
      </c>
      <c r="D52" s="2">
        <f>D40/D30</f>
        <v>-6.8881099095503773E-2</v>
      </c>
      <c r="E52" s="2">
        <f t="shared" ref="E52:F52" si="15">E40/E30</f>
        <v>-2.9069978574281858E-2</v>
      </c>
      <c r="F52" s="2">
        <f t="shared" si="15"/>
        <v>0.18292676535177754</v>
      </c>
      <c r="G52" s="2">
        <f>G40/G30</f>
        <v>-5.8493164550750001E-2</v>
      </c>
      <c r="H52" s="2">
        <f>H40/H30</f>
        <v>-8.7303921324287017E-3</v>
      </c>
      <c r="I52" s="2">
        <f>I40/I30</f>
        <v>1.5116135694579204E-2</v>
      </c>
      <c r="J52" s="2">
        <f>J40/J30</f>
        <v>0.11255100085767594</v>
      </c>
      <c r="K52" s="2">
        <f t="shared" ref="K52:L52" si="16">K40/K30</f>
        <v>9.6118255145435622E-2</v>
      </c>
      <c r="L52" s="2">
        <f t="shared" si="16"/>
        <v>0.17105592918858795</v>
      </c>
    </row>
  </sheetData>
  <hyperlinks>
    <hyperlink ref="H2" r:id="rId1" xr:uid="{1FAF2979-6CF6-6744-A115-04A73A693658}"/>
    <hyperlink ref="J2" r:id="rId2" xr:uid="{B4460851-C963-AB4A-B74B-B1543837C523}"/>
    <hyperlink ref="L2" r:id="rId3" xr:uid="{27D2C943-0735-7A4F-B963-EB4B8E1539BC}"/>
    <hyperlink ref="K2" r:id="rId4" xr:uid="{BAA97FB5-CBF8-234C-9C9D-BEE8555D357E}"/>
    <hyperlink ref="G2" r:id="rId5" xr:uid="{AA46C004-351A-B148-8189-3893B1839AE1}"/>
    <hyperlink ref="F2" r:id="rId6" xr:uid="{474162AE-A699-1E48-A739-CFC4950119C5}"/>
    <hyperlink ref="E2" r:id="rId7" xr:uid="{C3C3D541-4922-1E45-80F1-A0BDF8193A40}"/>
  </hyperlinks>
  <pageMargins left="0.7" right="0.7" top="0.75" bottom="0.75" header="0.3" footer="0.3"/>
  <drawing r:id="rId8"/>
  <legacy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2026-08-25T02:23:21Z</dcterms:created>
  <dcterms:modified xsi:type="dcterms:W3CDTF">2026-08-25T03:54:46Z</dcterms:modified>
</cp:coreProperties>
</file>