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defaultThemeVersion="202300"/>
  <mc:AlternateContent xmlns:mc="http://schemas.openxmlformats.org/markup-compatibility/2006">
    <mc:Choice Requires="x15">
      <x15ac:absPath xmlns:x15ac="http://schemas.microsoft.com/office/spreadsheetml/2010/11/ac" url="/Users/dillonwalton/Desktop/business/models/companies/"/>
    </mc:Choice>
  </mc:AlternateContent>
  <xr:revisionPtr revIDLastSave="0" documentId="13_ncr:1_{A3035A6D-BF85-7B44-815A-FA98245DF29B}" xr6:coauthVersionLast="47" xr6:coauthVersionMax="47" xr10:uidLastSave="{00000000-0000-0000-0000-000000000000}"/>
  <bookViews>
    <workbookView xWindow="0" yWindow="760" windowWidth="34560" windowHeight="20500" xr2:uid="{969D4ED5-6A32-DE48-841A-E0A03F4B02B5}"/>
  </bookViews>
  <sheets>
    <sheet name="Main" sheetId="1" r:id="rId1"/>
    <sheet name="Questions" sheetId="4" r:id="rId2"/>
    <sheet name="Model"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O4" i="1" l="1" a="1"/>
  <c r="O4" i="1" s="1"/>
  <c r="N4" i="1" a="1"/>
  <c r="N4" i="1"/>
  <c r="M4" i="1" a="1"/>
  <c r="M4" i="1" s="1"/>
  <c r="L4" i="1" a="1"/>
  <c r="L4" i="1" s="1"/>
  <c r="L6" i="1" s="1"/>
  <c r="BO68" i="2"/>
  <c r="BK12" i="2"/>
  <c r="BM79" i="2"/>
  <c r="BN79" i="2"/>
  <c r="BO79" i="2"/>
  <c r="BL88" i="2"/>
  <c r="BM88" i="2"/>
  <c r="BN88" i="2"/>
  <c r="BO88" i="2"/>
  <c r="BL79" i="2"/>
  <c r="BL92" i="2" s="1"/>
  <c r="BK88" i="2"/>
  <c r="BK79" i="2"/>
  <c r="BK92" i="2" s="1"/>
  <c r="BK56" i="2"/>
  <c r="BO55" i="2"/>
  <c r="BN55" i="2"/>
  <c r="BM55" i="2"/>
  <c r="BL55" i="2"/>
  <c r="BK55" i="2"/>
  <c r="BL53" i="2"/>
  <c r="BM53" i="2"/>
  <c r="BN53" i="2"/>
  <c r="BO53" i="2"/>
  <c r="BK53" i="2"/>
  <c r="BL48" i="2"/>
  <c r="BM48" i="2"/>
  <c r="BN48" i="2"/>
  <c r="BO48" i="2"/>
  <c r="BK48" i="2"/>
  <c r="BO45" i="2"/>
  <c r="BN45" i="2"/>
  <c r="BM45" i="2"/>
  <c r="BL45" i="2"/>
  <c r="BK45" i="2"/>
  <c r="BO44" i="2"/>
  <c r="BN44" i="2"/>
  <c r="BM44" i="2"/>
  <c r="BL44" i="2"/>
  <c r="BK44" i="2"/>
  <c r="BL32" i="2"/>
  <c r="BL43" i="2" s="1"/>
  <c r="BM32" i="2"/>
  <c r="BM43" i="2" s="1"/>
  <c r="BN32" i="2"/>
  <c r="BN43" i="2" s="1"/>
  <c r="BO32" i="2"/>
  <c r="BO43" i="2" s="1"/>
  <c r="BK32" i="2"/>
  <c r="BK43" i="2" s="1"/>
  <c r="BO30" i="2"/>
  <c r="BN30" i="2"/>
  <c r="BM30" i="2"/>
  <c r="BL30" i="2"/>
  <c r="BK30" i="2"/>
  <c r="BL29" i="2"/>
  <c r="BM29" i="2"/>
  <c r="BN29" i="2"/>
  <c r="BO29" i="2"/>
  <c r="BK29" i="2"/>
  <c r="L8" i="1"/>
  <c r="L7" i="1"/>
  <c r="BN92" i="2" l="1"/>
  <c r="BM92" i="2"/>
  <c r="L9" i="1"/>
  <c r="BO92" i="2"/>
  <c r="BK47" i="2"/>
  <c r="BN47" i="2"/>
  <c r="BL47" i="2"/>
  <c r="BM47" i="2"/>
  <c r="BO47" i="2"/>
  <c r="BL62" i="2" l="1"/>
  <c r="BL49" i="2"/>
  <c r="BL54" i="2" s="1"/>
  <c r="BO62" i="2"/>
  <c r="BO49" i="2"/>
  <c r="BO54" i="2" s="1"/>
  <c r="BM62" i="2"/>
  <c r="BM49" i="2"/>
  <c r="BM54" i="2" s="1"/>
  <c r="BN62" i="2"/>
  <c r="BN49" i="2"/>
  <c r="BN54" i="2" s="1"/>
  <c r="BK62" i="2"/>
  <c r="BK49" i="2"/>
  <c r="BK54" i="2" s="1"/>
  <c r="BN63" i="2" l="1"/>
  <c r="BN60" i="2"/>
  <c r="BN58" i="2"/>
  <c r="BK63" i="2"/>
  <c r="BK58" i="2"/>
  <c r="BK60" i="2"/>
  <c r="BM63" i="2"/>
  <c r="BM60" i="2"/>
  <c r="BM58" i="2"/>
  <c r="BO63" i="2"/>
  <c r="BO60" i="2"/>
  <c r="BO58" i="2"/>
  <c r="BL63" i="2"/>
  <c r="BL60" i="2"/>
  <c r="BL58"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Dillon Walton</author>
  </authors>
  <commentList>
    <comment ref="C26" authorId="0" shapeId="0" xr:uid="{C5AC19FE-CD97-4247-B105-54CE2CCB2A22}">
      <text>
        <r>
          <rPr>
            <b/>
            <sz val="10"/>
            <color rgb="FF000000"/>
            <rFont val="Tahoma"/>
            <family val="2"/>
          </rPr>
          <t>Dillon Walton:</t>
        </r>
        <r>
          <rPr>
            <sz val="10"/>
            <color rgb="FF000000"/>
            <rFont val="Tahoma"/>
            <family val="2"/>
          </rPr>
          <t xml:space="preserve">
</t>
        </r>
        <r>
          <rPr>
            <sz val="10"/>
            <color rgb="FF000000"/>
            <rFont val="Tahoma"/>
            <family val="2"/>
          </rPr>
          <t>q226 v3</t>
        </r>
      </text>
    </comment>
    <comment ref="C27" authorId="0" shapeId="0" xr:uid="{62359BE1-BB6F-BA4C-94EF-44C9612A9B81}">
      <text>
        <r>
          <rPr>
            <b/>
            <sz val="10"/>
            <color rgb="FF000000"/>
            <rFont val="Tahoma"/>
            <family val="2"/>
          </rPr>
          <t>Dillon Walton:</t>
        </r>
        <r>
          <rPr>
            <sz val="10"/>
            <color rgb="FF000000"/>
            <rFont val="Tahoma"/>
            <family val="2"/>
          </rPr>
          <t xml:space="preserve">
</t>
        </r>
        <r>
          <rPr>
            <sz val="10"/>
            <color rgb="FF000000"/>
            <rFont val="Tahoma"/>
            <family val="2"/>
          </rPr>
          <t>q226 v3</t>
        </r>
      </text>
    </comment>
    <comment ref="C28" authorId="0" shapeId="0" xr:uid="{09414612-5B8E-F54E-B869-B183750B0F35}">
      <text>
        <r>
          <rPr>
            <b/>
            <sz val="10"/>
            <color rgb="FF000000"/>
            <rFont val="Tahoma"/>
            <family val="2"/>
          </rPr>
          <t>Dillon Walton:</t>
        </r>
        <r>
          <rPr>
            <sz val="10"/>
            <color rgb="FF000000"/>
            <rFont val="Tahoma"/>
            <family val="2"/>
          </rPr>
          <t xml:space="preserve">
</t>
        </r>
        <r>
          <rPr>
            <sz val="10"/>
            <color rgb="FF000000"/>
            <rFont val="Tahoma"/>
            <family val="2"/>
          </rPr>
          <t>q226 v3</t>
        </r>
      </text>
    </comment>
    <comment ref="C29" authorId="0" shapeId="0" xr:uid="{63810956-4E6C-5744-A6FF-680D417501F9}">
      <text>
        <r>
          <rPr>
            <b/>
            <sz val="10"/>
            <color rgb="FF000000"/>
            <rFont val="Tahoma"/>
            <family val="2"/>
          </rPr>
          <t>Dillon Walton:</t>
        </r>
        <r>
          <rPr>
            <sz val="10"/>
            <color rgb="FF000000"/>
            <rFont val="Tahoma"/>
            <family val="2"/>
          </rPr>
          <t xml:space="preserve">
</t>
        </r>
        <r>
          <rPr>
            <sz val="10"/>
            <color rgb="FF000000"/>
            <rFont val="Tahoma"/>
            <family val="2"/>
          </rPr>
          <t>powerwall 3p = three phase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tc={38726785-892C-804C-8FF8-DADB51549DC9}</author>
    <author>tc={925AD150-B139-6741-9EC2-6FE911D37EFF}</author>
    <author>tc={00827756-8C87-FC4E-BC39-F490C56C50B7}</author>
    <author>tc={6BB9B9F4-FBF5-9B49-8159-98C3A5C6D3BD}</author>
    <author>tc={978DD6E5-58E1-9F42-A7E1-A314658D4B6C}</author>
    <author>tc={9F91B916-055A-A946-9CCD-A1E2DB92D76A}</author>
    <author>tc={A822EA57-979C-C248-99FD-6E63FC7EFEDC}</author>
    <author>tc={DA7FB16A-BE59-1C4E-AEE1-B3F29AEC4585}</author>
    <author>tc={28B12050-6E57-1549-88E4-6182ECE76F21}</author>
    <author>tc={E50E5CDA-5BF9-BA4A-B00E-EE3CD7609C8F}</author>
    <author>tc={4ACDDBCB-916E-7242-9A04-C86391B224F5}</author>
    <author>tc={82B56D2A-B009-2049-A96C-28DAEAF35590}</author>
    <author>tc={1D287C6F-E2D2-E345-BE86-5BE0D8B9902E}</author>
    <author>tc={35C48961-CBB3-054F-AB67-BC31DA5D496E}</author>
    <author>tc={2B43781E-258D-B846-ADF9-31DF09F42242}</author>
    <author>tc={D67A7C5D-6506-2244-878D-DB7D6AF3E3A5}</author>
    <author>tc={762FEB78-F3D7-6C42-9A3A-8D6E51523308}</author>
    <author>tc={F1607007-8EEC-9642-B09C-96725A8DDB3D}</author>
    <author>tc={68BF9E4D-74F3-1E45-AB40-9313600989E6}</author>
    <author>tc={AB337D9C-E292-2143-B82D-380CAA0E7A81}</author>
    <author>tc={77FB4DF4-DAF2-6E44-9ADD-0BFD928990F8}</author>
    <author>tc={FC305755-3C2E-6748-88FA-76EFEFFEC1DA}</author>
    <author>tc={58D8461D-D8C7-F644-A557-CB2165FF1C7B}</author>
    <author>tc={F9526E8C-ABD1-B444-95D9-E6D2FD4DA32E}</author>
    <author>tc={B4213311-BB2C-BC4D-A1BC-81FAD250A680}</author>
    <author>tc={C4663125-B0BD-7E48-8EE8-B212C568F57F}</author>
    <author>Dillon Walton</author>
  </authors>
  <commentList>
    <comment ref="AP2" authorId="0" shapeId="0" xr:uid="{38726785-892C-804C-8FF8-DADB51549DC9}">
      <text>
        <t>[Threaded comment]
Your version of Excel allows you to read this threaded comment; however, any edits to it will get removed if the file is opened in a newer version of Excel. Learn more: https://go.microsoft.com/fwlink/?linkid=870924
Comment:
    Q120 Tesla shareholder letter
https://digitalassets.tesla.com/tesla-contents/image/upload/IR/TSLA_Update_Letter_2020-1Q</t>
      </text>
    </comment>
    <comment ref="AQ2" authorId="1" shapeId="0" xr:uid="{925AD150-B139-6741-9EC2-6FE911D37EFF}">
      <text>
        <t>[Threaded comment]
Your version of Excel allows you to read this threaded comment; however, any edits to it will get removed if the file is opened in a newer version of Excel. Learn more: https://go.microsoft.com/fwlink/?linkid=870924
Comment:
    Q220 Tesla shareholder letter
https://digitalassets.tesla.com/tesla-contents/image/upload/IR/TSLA_Update_Letter_2020-2Q</t>
      </text>
    </comment>
    <comment ref="AR2" authorId="2" shapeId="0" xr:uid="{00827756-8C87-FC4E-BC39-F490C56C50B7}">
      <text>
        <t>[Threaded comment]
Your version of Excel allows you to read this threaded comment; however, any edits to it will get removed if the file is opened in a newer version of Excel. Learn more: https://go.microsoft.com/fwlink/?linkid=870924
Comment:
    Q320 Tesla shareholder letter
https://digitalassets.tesla.com/tesla-contents/image/upload/IR/TSLA-Q3-2020-Update</t>
      </text>
    </comment>
    <comment ref="AS2" authorId="3" shapeId="0" xr:uid="{6BB9B9F4-FBF5-9B49-8159-98C3A5C6D3BD}">
      <text>
        <t>[Threaded comment]
Your version of Excel allows you to read this threaded comment; however, any edits to it will get removed if the file is opened in a newer version of Excel. Learn more: https://go.microsoft.com/fwlink/?linkid=870924
Comment:
    Q420 Tesla shareholder letter
https://digitalassets.tesla.com/tesla-contents/image/upload/IR/TSLA-Q4-2020-Update</t>
      </text>
    </comment>
    <comment ref="AT2" authorId="4" shapeId="0" xr:uid="{978DD6E5-58E1-9F42-A7E1-A314658D4B6C}">
      <text>
        <t>[Threaded comment]
Your version of Excel allows you to read this threaded comment; however, any edits to it will get removed if the file is opened in a newer version of Excel. Learn more: https://go.microsoft.com/fwlink/?linkid=870924
Comment:
    Q121 Tesla shareholder letter
https://digitalassets.tesla.com/tesla-contents/image/upload/IR/TSLA-Q1-2021-Update</t>
      </text>
    </comment>
    <comment ref="AU2" authorId="5" shapeId="0" xr:uid="{9F91B916-055A-A946-9CCD-A1E2DB92D76A}">
      <text>
        <t>[Threaded comment]
Your version of Excel allows you to read this threaded comment; however, any edits to it will get removed if the file is opened in a newer version of Excel. Learn more: https://go.microsoft.com/fwlink/?linkid=870924
Comment:
    Q221 Tesla shareholder letter
https://digitalassets.tesla.com/tesla-contents/image/upload/IR/TSLA-Q2-2021-Update</t>
      </text>
    </comment>
    <comment ref="AV2" authorId="6" shapeId="0" xr:uid="{A822EA57-979C-C248-99FD-6E63FC7EFEDC}">
      <text>
        <t>[Threaded comment]
Your version of Excel allows you to read this threaded comment; however, any edits to it will get removed if the file is opened in a newer version of Excel. Learn more: https://go.microsoft.com/fwlink/?linkid=870924
Comment:
    Q321 Tesla shareholder letter
https://digitalassets.tesla.com/tesla-contents/image/upload/IR/TSLA-Q3-2021-Quarterly-Update</t>
      </text>
    </comment>
    <comment ref="AW2" authorId="7" shapeId="0" xr:uid="{DA7FB16A-BE59-1C4E-AEE1-B3F29AEC4585}">
      <text>
        <t>[Threaded comment]
Your version of Excel allows you to read this threaded comment; however, any edits to it will get removed if the file is opened in a newer version of Excel. Learn more: https://go.microsoft.com/fwlink/?linkid=870924
Comment:
    Q421 Tesla shareholder letter
https://digitalassets.tesla.com/tesla-contents/image/upload/IR/TSLA-Q4-2021-Update</t>
      </text>
    </comment>
    <comment ref="AX2" authorId="8" shapeId="0" xr:uid="{28B12050-6E57-1549-88E4-6182ECE76F21}">
      <text>
        <t>[Threaded comment]
Your version of Excel allows you to read this threaded comment; however, any edits to it will get removed if the file is opened in a newer version of Excel. Learn more: https://go.microsoft.com/fwlink/?linkid=870924
Comment:
    Q122 Tesla shareholder letter
https://digitalassets.tesla.com/tesla-contents/image/upload/IR/TSLA-Q1-2022-Update</t>
      </text>
    </comment>
    <comment ref="AY2" authorId="9" shapeId="0" xr:uid="{E50E5CDA-5BF9-BA4A-B00E-EE3CD7609C8F}">
      <text>
        <t>[Threaded comment]
Your version of Excel allows you to read this threaded comment; however, any edits to it will get removed if the file is opened in a newer version of Excel. Learn more: https://go.microsoft.com/fwlink/?linkid=870924
Comment:
    Q222 Tesla shareholder letter
https://digitalassets.tesla.com/tesla-contents/image/upload/IR/TSLA-Q2-2022-Update</t>
      </text>
    </comment>
    <comment ref="AZ2" authorId="10" shapeId="0" xr:uid="{4ACDDBCB-916E-7242-9A04-C86391B224F5}">
      <text>
        <t>[Threaded comment]
Your version of Excel allows you to read this threaded comment; however, any edits to it will get removed if the file is opened in a newer version of Excel. Learn more: https://go.microsoft.com/fwlink/?linkid=870924
Comment:
    Q322 Tesla shareholder letter
https://digitalassets.tesla.com/tesla-contents/image/upload/IR/TSLA-Q3-2022-Update</t>
      </text>
    </comment>
    <comment ref="BA2" authorId="11" shapeId="0" xr:uid="{82B56D2A-B009-2049-A96C-28DAEAF35590}">
      <text>
        <t>[Threaded comment]
Your version of Excel allows you to read this threaded comment; however, any edits to it will get removed if the file is opened in a newer version of Excel. Learn more: https://go.microsoft.com/fwlink/?linkid=870924
Comment:
    Q422 Tesla shareholder letter
https://digitalassets.tesla.com/tesla-contents/image/upload/IR/TSLA-Q4-2022-Update</t>
      </text>
    </comment>
    <comment ref="BB2" authorId="12" shapeId="0" xr:uid="{1D287C6F-E2D2-E345-BE86-5BE0D8B9902E}">
      <text>
        <t>[Threaded comment]
Your version of Excel allows you to read this threaded comment; however, any edits to it will get removed if the file is opened in a newer version of Excel. Learn more: https://go.microsoft.com/fwlink/?linkid=870924
Comment:
    Q123 Tesla shareholder letter
https://digitalassets.tesla.com/tesla-contents/image/upload/IR/TSLA-Q1-2023-Update</t>
      </text>
    </comment>
    <comment ref="BC2" authorId="13" shapeId="0" xr:uid="{35C48961-CBB3-054F-AB67-BC31DA5D496E}">
      <text>
        <t>[Threaded comment]
Your version of Excel allows you to read this threaded comment; however, any edits to it will get removed if the file is opened in a newer version of Excel. Learn more: https://go.microsoft.com/fwlink/?linkid=870924
Comment:
    Q223 Tesla shareholder letter
https://digitalassets.tesla.com/tesla-contents/image/upload/IR/TSLA-Q2-2023-Update.pdf</t>
      </text>
    </comment>
    <comment ref="BD2" authorId="14" shapeId="0" xr:uid="{2B43781E-258D-B846-ADF9-31DF09F42242}">
      <text>
        <t>[Threaded comment]
Your version of Excel allows you to read this threaded comment; however, any edits to it will get removed if the file is opened in a newer version of Excel. Learn more: https://go.microsoft.com/fwlink/?linkid=870924
Comment:
    Q323 Tesla shareholder letter
https://digitalassets.tesla.com/tesla-contents/image/upload/IR/TSLA-Q3-2023-Update-3.pdf</t>
      </text>
    </comment>
    <comment ref="BE2" authorId="15" shapeId="0" xr:uid="{D67A7C5D-6506-2244-878D-DB7D6AF3E3A5}">
      <text>
        <t>[Threaded comment]
Your version of Excel allows you to read this threaded comment; however, any edits to it will get removed if the file is opened in a newer version of Excel. Learn more: https://go.microsoft.com/fwlink/?linkid=870924
Comment:
    Q423 Tesla shareholder letter
https://digitalassets.tesla.com/tesla-contents/image/upload/IR/TSLA-Q4-2023-Update.pdf</t>
      </text>
    </comment>
    <comment ref="BF2" authorId="16" shapeId="0" xr:uid="{762FEB78-F3D7-6C42-9A3A-8D6E51523308}">
      <text>
        <t>[Threaded comment]
Your version of Excel allows you to read this threaded comment; however, any edits to it will get removed if the file is opened in a newer version of Excel. Learn more: https://go.microsoft.com/fwlink/?linkid=870924
Comment:
    Q124 Tesla shareholder letter
https://digitalassets.tesla.com/tesla-contents/image/upload/IR/TSLA-Q1-2024-Update.pdf</t>
      </text>
    </comment>
    <comment ref="BG2" authorId="17" shapeId="0" xr:uid="{F1607007-8EEC-9642-B09C-96725A8DDB3D}">
      <text>
        <t>[Threaded comment]
Your version of Excel allows you to read this threaded comment; however, any edits to it will get removed if the file is opened in a newer version of Excel. Learn more: https://go.microsoft.com/fwlink/?linkid=870924
Comment:
    Q224 Tesla shareholder letter
https://digitalassets.tesla.com/tesla-contents/image/upload/IR/TSLA-Q2-2024-Update.pdf</t>
      </text>
    </comment>
    <comment ref="BH2" authorId="18" shapeId="0" xr:uid="{68BF9E4D-74F3-1E45-AB40-9313600989E6}">
      <text>
        <t>[Threaded comment]
Your version of Excel allows you to read this threaded comment; however, any edits to it will get removed if the file is opened in a newer version of Excel. Learn more: https://go.microsoft.com/fwlink/?linkid=870924
Comment:
    Q324 Tesla shareholder letter
https://digitalassets.tesla.com/tesla-contents/image/upload/IR/TSLA-Q3-2024-Update.pdf</t>
      </text>
    </comment>
    <comment ref="BI2" authorId="19" shapeId="0" xr:uid="{AB337D9C-E292-2143-B82D-380CAA0E7A81}">
      <text>
        <t>[Threaded comment]
Your version of Excel allows you to read this threaded comment; however, any edits to it will get removed if the file is opened in a newer version of Excel. Learn more: https://go.microsoft.com/fwlink/?linkid=870924
Comment:
    Q424 Tesla shareholder letter
https://digitalassets.tesla.com/tesla-contents/image/upload/IR/TSLA-Q4-2024-Update.pdf</t>
      </text>
    </comment>
    <comment ref="BJ2" authorId="20" shapeId="0" xr:uid="{77FB4DF4-DAF2-6E44-9ADD-0BFD928990F8}">
      <text>
        <t>[Threaded comment]
Your version of Excel allows you to read this threaded comment; however, any edits to it will get removed if the file is opened in a newer version of Excel. Learn more: https://go.microsoft.com/fwlink/?linkid=870924
Comment:
    Q125 Tesla shareholder letter
https://digitalassets.tesla.com/tesla-contents/image/upload/IR/IR/TSLA-Q1-2025-Update.pdf</t>
      </text>
    </comment>
    <comment ref="BK2" authorId="21" shapeId="0" xr:uid="{FC305755-3C2E-6748-88FA-76EFEFFEC1DA}">
      <text>
        <t>[Threaded comment]
Your version of Excel allows you to read this threaded comment; however, any edits to it will get removed if the file is opened in a newer version of Excel. Learn more: https://go.microsoft.com/fwlink/?linkid=870924
Comment:
    Q225 Tesla shareholder letter
https://www.tesla.com/sites/default/files/downloads/TSLA-Q2-2025-Update.pdf</t>
      </text>
    </comment>
    <comment ref="BL2" authorId="22" shapeId="0" xr:uid="{58D8461D-D8C7-F644-A557-CB2165FF1C7B}">
      <text>
        <t>[Threaded comment]
Your version of Excel allows you to read this threaded comment; however, any edits to it will get removed if the file is opened in a newer version of Excel. Learn more: https://go.microsoft.com/fwlink/?linkid=870924
Comment:
    Q325 Tesla shareholder letter
https://assets-ir.tesla.com/tesla-contents/IR/TSLA-Q3-2025-Update.pdf</t>
      </text>
    </comment>
    <comment ref="BM2" authorId="23" shapeId="0" xr:uid="{F9526E8C-ABD1-B444-95D9-E6D2FD4DA32E}">
      <text>
        <t>[Threaded comment]
Your version of Excel allows you to read this threaded comment; however, any edits to it will get removed if the file is opened in a newer version of Excel. Learn more: https://go.microsoft.com/fwlink/?linkid=870924
Comment:
    Q425 Tesla shareholder letter
https://assets-ir.tesla.com/tesla-contents/IR/TSLA-Q4-2025-Update.pdf</t>
      </text>
    </comment>
    <comment ref="BN2" authorId="24" shapeId="0" xr:uid="{B4213311-BB2C-BC4D-A1BC-81FAD250A680}">
      <text>
        <t>[Threaded comment]
Your version of Excel allows you to read this threaded comment; however, any edits to it will get removed if the file is opened in a newer version of Excel. Learn more: https://go.microsoft.com/fwlink/?linkid=870924
Comment:
    Q126 Tesla shareholder letter
https://assets-ir.tesla.com/tesla-contents/IR/TSLA-Q1-2026-Update.pdf</t>
      </text>
    </comment>
    <comment ref="BO2" authorId="25" shapeId="0" xr:uid="{C4663125-B0BD-7E48-8EE8-B212C568F57F}">
      <text>
        <t>[Threaded comment]
Your version of Excel allows you to read this threaded comment; however, any edits to it will get removed if the file is opened in a newer version of Excel. Learn more: https://go.microsoft.com/fwlink/?linkid=870924
Comment:
    Q226 Tesla shareholder letter
https://assets-ir.tesla.com/tesla-contents/IR/TSLA-Q2-2026-Update.pdf</t>
      </text>
    </comment>
    <comment ref="B72" authorId="26" shapeId="0" xr:uid="{AC8DE0E4-639A-984D-AC99-F9922FE5CB6D}">
      <text>
        <r>
          <rPr>
            <b/>
            <sz val="10"/>
            <color rgb="FF000000"/>
            <rFont val="Tahoma"/>
            <family val="2"/>
          </rPr>
          <t>Dillon Walton:</t>
        </r>
        <r>
          <rPr>
            <sz val="10"/>
            <color rgb="FF000000"/>
            <rFont val="Tahoma"/>
            <family val="2"/>
          </rPr>
          <t xml:space="preserve">
</t>
        </r>
        <r>
          <rPr>
            <sz val="10"/>
            <color rgb="FF000000"/>
            <rFont val="Tahoma"/>
            <family val="2"/>
          </rPr>
          <t>Book value lease assets</t>
        </r>
      </text>
    </comment>
    <comment ref="B73" authorId="26" shapeId="0" xr:uid="{D6126DBB-7434-9D4F-B554-4C63A31DF33F}">
      <text>
        <r>
          <rPr>
            <b/>
            <sz val="10"/>
            <color rgb="FF000000"/>
            <rFont val="Tahoma"/>
            <family val="2"/>
          </rPr>
          <t>Dillon Walton:</t>
        </r>
        <r>
          <rPr>
            <sz val="10"/>
            <color rgb="FF000000"/>
            <rFont val="Tahoma"/>
            <family val="2"/>
          </rPr>
          <t xml:space="preserve">
</t>
        </r>
        <r>
          <rPr>
            <sz val="10"/>
            <color rgb="FF000000"/>
            <rFont val="Tahoma"/>
            <family val="2"/>
          </rPr>
          <t>Book value of leased assets</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<sst xmlns="http://schemas.openxmlformats.org/spreadsheetml/2006/main" count="251" uniqueCount="180">
  <si>
    <t>Revenue</t>
  </si>
  <si>
    <t>Q120</t>
  </si>
  <si>
    <t>Q220</t>
  </si>
  <si>
    <t>Q320</t>
  </si>
  <si>
    <t>Q420</t>
  </si>
  <si>
    <t>Q121</t>
  </si>
  <si>
    <t>Q221</t>
  </si>
  <si>
    <t>Q321</t>
  </si>
  <si>
    <t>Q421</t>
  </si>
  <si>
    <t>Q122</t>
  </si>
  <si>
    <t>Q222</t>
  </si>
  <si>
    <t>Q322</t>
  </si>
  <si>
    <t>Q422</t>
  </si>
  <si>
    <t>Q123</t>
  </si>
  <si>
    <t>Q223</t>
  </si>
  <si>
    <t>Q323</t>
  </si>
  <si>
    <t>Q423</t>
  </si>
  <si>
    <t>Q124</t>
  </si>
  <si>
    <t>Q224</t>
  </si>
  <si>
    <t>Q324</t>
  </si>
  <si>
    <t>Q424</t>
  </si>
  <si>
    <t>Q125</t>
  </si>
  <si>
    <t>Q225</t>
  </si>
  <si>
    <t>Q325</t>
  </si>
  <si>
    <t>Q425</t>
  </si>
  <si>
    <t>Q126</t>
  </si>
  <si>
    <t>Q226</t>
  </si>
  <si>
    <t>Q326</t>
  </si>
  <si>
    <t>Q426</t>
  </si>
  <si>
    <t>Q127</t>
  </si>
  <si>
    <t>Q227</t>
  </si>
  <si>
    <t>Q327</t>
  </si>
  <si>
    <t>Q427</t>
  </si>
  <si>
    <t>Q128</t>
  </si>
  <si>
    <t>Q228</t>
  </si>
  <si>
    <t>Q328</t>
  </si>
  <si>
    <t>Q428</t>
  </si>
  <si>
    <t>Price</t>
  </si>
  <si>
    <t>s/o</t>
  </si>
  <si>
    <t>mkt cap</t>
  </si>
  <si>
    <t>cash</t>
  </si>
  <si>
    <t>debt</t>
  </si>
  <si>
    <t>ev</t>
  </si>
  <si>
    <t>Automotive</t>
  </si>
  <si>
    <t>Energy Generation + Sorage</t>
  </si>
  <si>
    <t>Auto Sales</t>
  </si>
  <si>
    <t>Auto Reg Credits</t>
  </si>
  <si>
    <t>Auto Leasing</t>
  </si>
  <si>
    <t>Services + other</t>
  </si>
  <si>
    <t>Auto Sales COGs</t>
  </si>
  <si>
    <t>Gross Margin</t>
  </si>
  <si>
    <t>Auto Leasing COGs</t>
  </si>
  <si>
    <t>Energy Generation + Sorage COGS</t>
  </si>
  <si>
    <t>Services + other COGs</t>
  </si>
  <si>
    <t>COGs</t>
  </si>
  <si>
    <t>R&amp;D</t>
  </si>
  <si>
    <t>SG&amp;A</t>
  </si>
  <si>
    <t>Restructuring</t>
  </si>
  <si>
    <t>Opex</t>
  </si>
  <si>
    <t>Operating Margin</t>
  </si>
  <si>
    <t>Operating profits</t>
  </si>
  <si>
    <t>Gross Profit</t>
  </si>
  <si>
    <t>Energy + Storage Margin</t>
  </si>
  <si>
    <t>Services Margin</t>
  </si>
  <si>
    <t>Auto Margin</t>
  </si>
  <si>
    <t>Auto Sales Margin</t>
  </si>
  <si>
    <t>Auto Leasing Margin</t>
  </si>
  <si>
    <t>Other</t>
  </si>
  <si>
    <t>Taxes</t>
  </si>
  <si>
    <t>Tax rate</t>
  </si>
  <si>
    <t>Net income</t>
  </si>
  <si>
    <t>Interest Income (loss)</t>
  </si>
  <si>
    <t>Other Income (loss)</t>
  </si>
  <si>
    <t>Cash</t>
  </si>
  <si>
    <t>AR</t>
  </si>
  <si>
    <t>Inventory</t>
  </si>
  <si>
    <t>Prepaid Expenses</t>
  </si>
  <si>
    <t>Operating lease vehicles</t>
  </si>
  <si>
    <t>Energy Gen + Storage Syst</t>
  </si>
  <si>
    <t>PP&amp;E</t>
  </si>
  <si>
    <t>Operating lease right-of-use</t>
  </si>
  <si>
    <t>Digital assets</t>
  </si>
  <si>
    <t>Defered tax</t>
  </si>
  <si>
    <t>Assets</t>
  </si>
  <si>
    <t>AP</t>
  </si>
  <si>
    <t>Accrued Liabilities</t>
  </si>
  <si>
    <t>Debt + finance lease (current)</t>
  </si>
  <si>
    <t>Debt + finance lease (net of current)</t>
  </si>
  <si>
    <t>Deferred Rev (current)</t>
  </si>
  <si>
    <t>Deferred Rev (net of current)</t>
  </si>
  <si>
    <t>Other LT liabilities</t>
  </si>
  <si>
    <t>Liabilities</t>
  </si>
  <si>
    <t>SE</t>
  </si>
  <si>
    <t>Model 3/Y production</t>
  </si>
  <si>
    <t>Other models production</t>
  </si>
  <si>
    <t>Total</t>
  </si>
  <si>
    <t>Model 3/Y deliveries</t>
  </si>
  <si>
    <t xml:space="preserve">Other model </t>
  </si>
  <si>
    <t>Storage Deployed (GWh)</t>
  </si>
  <si>
    <t>Manufacturing</t>
  </si>
  <si>
    <t>California</t>
  </si>
  <si>
    <t>Shanghai</t>
  </si>
  <si>
    <t>Berlin</t>
  </si>
  <si>
    <t>Texas</t>
  </si>
  <si>
    <t>CA</t>
  </si>
  <si>
    <t>Model 3 / Model Y</t>
  </si>
  <si>
    <t>Model 3</t>
  </si>
  <si>
    <t>Model Y</t>
  </si>
  <si>
    <t>Cybertruck</t>
  </si>
  <si>
    <t>Cybercab</t>
  </si>
  <si>
    <t>Tesla Semi</t>
  </si>
  <si>
    <t>Roadster</t>
  </si>
  <si>
    <t>Optimus</t>
  </si>
  <si>
    <t>Megablock</t>
  </si>
  <si>
    <t>Model S</t>
  </si>
  <si>
    <t>Model X</t>
  </si>
  <si>
    <t>Giga Factory</t>
  </si>
  <si>
    <t>Megafactory</t>
  </si>
  <si>
    <t>Random things</t>
  </si>
  <si>
    <t>Cathode material production</t>
  </si>
  <si>
    <t>Lithium refining</t>
  </si>
  <si>
    <t>LFP cells</t>
  </si>
  <si>
    <t>4680 cells</t>
  </si>
  <si>
    <t>Lithium Ion battery storage</t>
  </si>
  <si>
    <t>S/O</t>
  </si>
  <si>
    <t>NCI</t>
  </si>
  <si>
    <t>Redeemable NCI in subsidaries</t>
  </si>
  <si>
    <t>Brookshire, Texas</t>
  </si>
  <si>
    <t>Autobidder</t>
  </si>
  <si>
    <t>Global Markets</t>
  </si>
  <si>
    <t>Overlap between cars, batteries and charging</t>
  </si>
  <si>
    <t>Megapack 1</t>
  </si>
  <si>
    <t>Megapack 2</t>
  </si>
  <si>
    <t>Megapack 3</t>
  </si>
  <si>
    <t>Lathrop, California</t>
  </si>
  <si>
    <t>Powerwall 1</t>
  </si>
  <si>
    <t>Powerwall 2</t>
  </si>
  <si>
    <t>Powerwall 3</t>
  </si>
  <si>
    <t>Q210</t>
  </si>
  <si>
    <t>Q310</t>
  </si>
  <si>
    <t>Q410</t>
  </si>
  <si>
    <t>Q111</t>
  </si>
  <si>
    <t>Q211</t>
  </si>
  <si>
    <t>Q311</t>
  </si>
  <si>
    <t>Q411</t>
  </si>
  <si>
    <t>Q112</t>
  </si>
  <si>
    <t>Q212</t>
  </si>
  <si>
    <t>Q312</t>
  </si>
  <si>
    <t>Q412</t>
  </si>
  <si>
    <t>Q113</t>
  </si>
  <si>
    <t>Q213</t>
  </si>
  <si>
    <t>Q313</t>
  </si>
  <si>
    <t>Q413</t>
  </si>
  <si>
    <t>Q114</t>
  </si>
  <si>
    <t>Q214</t>
  </si>
  <si>
    <t>Q314</t>
  </si>
  <si>
    <t>Q414</t>
  </si>
  <si>
    <t>Q115</t>
  </si>
  <si>
    <t>Q215</t>
  </si>
  <si>
    <t>Q315</t>
  </si>
  <si>
    <t>Q415</t>
  </si>
  <si>
    <t>Q116</t>
  </si>
  <si>
    <t>Q216</t>
  </si>
  <si>
    <t>Q316</t>
  </si>
  <si>
    <t>Q416</t>
  </si>
  <si>
    <t>Q117</t>
  </si>
  <si>
    <t>Q217</t>
  </si>
  <si>
    <t>Q317</t>
  </si>
  <si>
    <t>Q417</t>
  </si>
  <si>
    <t>Q118</t>
  </si>
  <si>
    <t>Q218</t>
  </si>
  <si>
    <t>Q318</t>
  </si>
  <si>
    <t>Q418</t>
  </si>
  <si>
    <t>Q119</t>
  </si>
  <si>
    <t>Q219</t>
  </si>
  <si>
    <t>Q319</t>
  </si>
  <si>
    <t>Q419</t>
  </si>
  <si>
    <t>10-Q</t>
  </si>
  <si>
    <t>10-K</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</si>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</sst>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2" x14ac:knownFonts="1">
    <font>
      <sz val="12"/>
      <color theme="1"/>
      <name val="Aptos Narrow"/>
      <family val="2"/>
      <scheme val="minor"/>
    </font>
    <font>
      <sz val="12"/>
      <color theme="1"/>
      <name val="Aptos Narrow"/>
      <family val="2"/>
      <scheme val="minor"/>
    </font>
    <font>
      <sz val="10"/>
      <color rgb="FF000000"/>
      <name val="Tahoma"/>
      <family val="2"/>
    </font>
    <font>
      <u/>
      <sz val="12"/>
      <color rgb="FF0563C1"/>
      <name val="Aptos Narrow"/>
      <family val="2"/>
      <scheme val="minor"/>
    </font>
    <font>
      <b/>
      <sz val="12"/>
      <color theme="1"/>
      <name val="Aptos Narrow"/>
      <scheme val="minor"/>
    </font>
    <font>
      <sz val="12"/>
      <color theme="1"/>
      <name val="Aptos Narrow"/>
      <scheme val="minor"/>
    </font>
    <font>
      <b/>
      <sz val="10"/>
      <color rgb="FF000000"/>
      <name val="Tahoma"/>
      <family val="2"/>
    </font>
    <font>
      <u/>
      <sz val="12"/>
      <color rgb="FF0563C1"/>
      <name val="Aptos Narrow"/>
      <scheme val="minor"/>
    </font>
    <font>
      <u/>
      <sz val="12"/>
      <color theme="10"/>
      <name val="Aptos Narrow"/>
      <family val="2"/>
      <scheme val="minor"/>
    </font>
    <font>
      <u/>
      <sz val="12"/>
      <color rgb="FF4F81BD"/>
      <name val="Aptos Narrow"/>
      <family val="2"/>
      <scheme val="minor"/>
    </font>
    <font>
      <i/>
      <u/>
      <sz val="12"/>
      <color rgb="FF7030A0"/>
      <name val="Aptos Narrow"/>
      <family val="2"/>
      <scheme val="minor"/>
    </font>
    <font>
      <u/>
      <sz val="9"/>
      <color rgb="FF595959"/>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9" fontId="1" fillId="0" borderId="0" applyFont="0" applyFill="0" applyBorder="0" applyAlignment="0" applyProtection="0"/>
    <xf numFmtId="0" fontId="8" fillId="0" borderId="0" applyNumberFormat="0" applyFill="0" applyBorder="0" applyAlignment="0" applyProtection="0"/>
  </cellStyleXfs>
  <cellXfs count="18">
    <xf numFmtId="0" fontId="0" fillId="0" borderId="0" xfId="0"/>
    <xf numFmtId="3" fontId="0" fillId="0" borderId="0" xfId="0" applyNumberFormat="1"/>
    <xf numFmtId="0" fontId="3" fillId="0" borderId="0" xfId="0" applyFont="1"/>
    <xf numFmtId="0" fontId="4" fillId="0" borderId="0" xfId="0" applyFont="1"/>
    <xf numFmtId="9" fontId="0" fillId="0" borderId="0" xfId="0" applyNumberFormat="1"/>
    <xf numFmtId="9" fontId="0" fillId="0" borderId="0" xfId="1" applyFont="1"/>
    <xf numFmtId="3" fontId="4" fillId="0" borderId="0" xfId="0" applyNumberFormat="1" applyFont="1"/>
    <xf numFmtId="0" fontId="5" fillId="0" borderId="0" xfId="0" applyFont="1"/>
    <xf numFmtId="9" fontId="5" fillId="0" borderId="0" xfId="0" applyNumberFormat="1" applyFont="1"/>
    <xf numFmtId="0" fontId="7" fillId="0" borderId="0" xfId="0" applyFont="1"/>
    <xf numFmtId="3" fontId="7" fillId="0" borderId="0" xfId="0" applyNumberFormat="1" applyFont="1"/>
    <xf numFmtId="3" fontId="5" fillId="0" borderId="0" xfId="0" applyNumberFormat="1" applyFont="1"/>
    <xf numFmtId="164" fontId="0" fillId="0" borderId="0" xfId="0" applyNumberFormat="1"/>
    <xf numFmtId="0" fontId="9" fillId="0" borderId="0" xfId="2" applyFont="1"/>
    <xf numFmtId="0" fontId="10" fillId="0" borderId="0" xfId="2" applyFont="1"/>
    <xf numFmtId="0" fontId="11" fillId="0" borderId="0" xfId="2" applyFont="1"/>
    <xf numFmtId="4" fontId="0" fillId="0" borderId="0" xfId="0" applyNumberFormat="1"/>
    <xf numFmtId="1" fontId="0" fillId="0" borderId="0" xfId="0" applyNumberFormat="1"/>
  </cellXfs>
  <cellStyles count="3">
    <cellStyle name="Hyperlink" xfId="2" builtinId="8"/>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sheetMetadata" Target="metadata.xml"/><Relationship Id="rId12" Type="http://schemas.microsoft.com/office/2017/06/relationships/rdSupportingPropertyBag" Target="richData/rdsupportingpropertybag.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SupportingPropertyBagStructure" Target="richData/rdsupportingpropertybagstructure.xml"/><Relationship Id="rId5" Type="http://schemas.openxmlformats.org/officeDocument/2006/relationships/styles" Target="styles.xml"/><Relationship Id="rId15" Type="http://schemas.openxmlformats.org/officeDocument/2006/relationships/calcChain" Target="calcChain.xml"/><Relationship Id="rId10" Type="http://schemas.microsoft.com/office/2017/06/relationships/richStyles" Target="richData/richStyles.xml"/><Relationship Id="rId4" Type="http://schemas.openxmlformats.org/officeDocument/2006/relationships/theme" Target="theme/theme1.xml"/><Relationship Id="rId9" Type="http://schemas.microsoft.com/office/2017/06/relationships/rdRichValueStructure" Target="richData/rdrichvaluestructure.xml"/><Relationship Id="rId14" Type="http://schemas.microsoft.com/office/2017/10/relationships/person" Target="persons/person.xml"/></Relationships>
</file>

<file path=xl/drawings/drawing1.xml><?xml version="1.0" encoding="utf-8"?>
<xdr:wsDr xmlns:xdr="http://schemas.openxmlformats.org/drawingml/2006/spreadsheetDrawing" xmlns:a="http://schemas.openxmlformats.org/drawingml/2006/main">
  <xdr:twoCellAnchor>
    <xdr:from>
      <xdr:col>67</xdr:col>
      <xdr:colOff>25400</xdr:colOff>
      <xdr:row>0</xdr:row>
      <xdr:rowOff>63500</xdr:rowOff>
    </xdr:from>
    <xdr:to>
      <xdr:col>67</xdr:col>
      <xdr:colOff>25400</xdr:colOff>
      <xdr:row>41</xdr:row>
      <xdr:rowOff>0</xdr:rowOff>
    </xdr:to>
    <xdr:cxnSp macro="">
      <xdr:nvCxnSpPr>
        <xdr:cNvPr id="3" name="Straight Arrow Connector 2">
          <a:extLst>
            <a:ext uri="{FF2B5EF4-FFF2-40B4-BE49-F238E27FC236}">
              <a16:creationId xmlns:a16="http://schemas.microsoft.com/office/drawing/2014/main" id="{00000000-0008-0000-0200-000003000000}"/>
            </a:ext>
          </a:extLst>
        </xdr:cNvPr>
        <xdr:cNvCxnSpPr/>
      </xdr:nvCxnSpPr>
      <xdr:spPr>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94</xdr:col>
      <xdr:colOff>25400</xdr:colOff>
      <xdr:row>0</xdr:row>
      <xdr:rowOff>63500</xdr:rowOff>
    </xdr:from>
    <xdr:to>
      <xdr:col>94</xdr:col>
      <xdr:colOff>25400</xdr:colOff>
      <xdr:row>41</xdr:row>
      <xdr:rowOff>0</xdr:rowOff>
    </xdr:to>
    <xdr:cxnSp macro="">
      <xdr:nvCxnSpPr>
        <xdr:cNvPr id="4" name="Straight Arrow Connector 3">
          <a:extLst>
            <a:ext uri="{FF2B5EF4-FFF2-40B4-BE49-F238E27FC236}">
              <a16:creationId xmlns:a16="http://schemas.microsoft.com/office/drawing/2014/main" id="{00000000-0008-0000-0200-000004000000}"/>
            </a:ext>
          </a:extLst>
        </xdr:cNvPr>
        <xdr:cNvCxnSpPr/>
      </xdr:nvCxnSpPr>
      <xdr:spPr>
        <a:prstGeom prst="straightConnector1">
          <a:avLst/>
        </a:prstGeom>
        <a:ln>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persons/person.xml><?xml version="1.0" encoding="utf-8"?>
<personList xmlns="http://schemas.microsoft.com/office/spreadsheetml/2018/threadedcomments" xmlns:x="http://schemas.openxmlformats.org/spreadsheetml/2006/main">
  <person displayName="Dillon Walton" id="{72341B3D-64ED-DE40-92E1-1286D6A616CD}" userId="S::dillon.walton@apexcleanenergy.com::d6a318a4-b905-4bee-a20f-e7b3b62104df" providerId="AD"/>
</personList>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https://www.bing.com/financeapi/forcetrigger?t=a24kar&amp;q=XNAS%3aTSLA&amp;form=skydnc</v>
    <v>Learn more on Bing</v>
  </rv>
  <rv s="1">
    <v>0</v>
    <v>TESLA, INC. (XNAS:TSLA)</v>
    <v>2</v>
    <v>3</v>
    <v>Finance</v>
    <v>4</v>
    <v>en-US</v>
    <v>a24kar</v>
    <v>268435456</v>
    <v>1</v>
    <v>Powered by Refinitiv</v>
    <v>498.83</v>
    <v>297.38</v>
    <v>1.9121999999999999</v>
    <v>1.22</v>
    <v>3.2200000000000002E-3</v>
    <v>1.3899999999999999E-2</v>
    <v>3.6570000000000004E-5</v>
    <v>USD</v>
    <v>Tesla, Inc. designs, develops, manufactures, sells and leases high-performance fully electric vehicles and energy generation and storage systems, and offers services related to its products. Its segments include automotive, and energy generation and storage. The automotive segment includes the design, development, manufacturing, sales and leasing of high-performance fully electric vehicles, and sales of automotive regulatory credits. It also includes sales of used vehicles, non-warranty maintenance services and collisions, part sales, paid supercharging, insurance services revenue and retail merchandise sales. The energy generation and storage segment include the design, manufacture, installation, sales and leasing of solar energy generation and energy storage products and related services and sales of solar energy systems incentives. Its consumer vehicles include the Model 3, Y, S, X and Cybertruck. Its lithium-ion battery energy storage products include Powerwall and Megapack.</v>
    <v>134785</v>
    <v>Nasdaq Stock Market</v>
    <v>XNAS</v>
    <v>XNAS</v>
    <v>1 Tesla Road, AUSTIN, TX, 78725 US</v>
    <v>386.7</v>
    <v>Automobiles &amp; Auto Parts</v>
    <v>Stock</v>
    <v>46288.999961863279</v>
    <v>0</v>
    <v>377.57499999999999</v>
    <v>1501301805640</v>
    <v>TESLA, INC.</v>
    <v>TESLA, INC.</v>
    <v>380.1</v>
    <v>380.42430000000002</v>
    <v>378.9</v>
    <v>380.12</v>
    <v>380.13389999999998</v>
    <v>3949547000</v>
    <v>TSLA</v>
    <v>TESLA, INC. (XNAS:TSLA)</v>
    <v>33522492</v>
    <v>38800703</v>
    <v>2024</v>
  </rv>
  <rv s="2">
    <v>1</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P2" dT="2026-08-29T01:38:23.16" personId="{72341B3D-64ED-DE40-92E1-1286D6A616CD}" id="{38726785-892C-804C-8FF8-DADB51549DC9}">
    <text>Q120 Tesla shareholder letter
https://digitalassets.tesla.com/tesla-contents/image/upload/IR/TSLA_Update_Letter_2020-1Q</text>
  </threadedComment>
  <threadedComment ref="AQ2" dT="2026-08-29T01:38:23.18" personId="{72341B3D-64ED-DE40-92E1-1286D6A616CD}" id="{925AD150-B139-6741-9EC2-6FE911D37EFF}">
    <text>Q220 Tesla shareholder letter
https://digitalassets.tesla.com/tesla-contents/image/upload/IR/TSLA_Update_Letter_2020-2Q</text>
  </threadedComment>
  <threadedComment ref="AR2" dT="2026-08-29T01:38:23.18" personId="{72341B3D-64ED-DE40-92E1-1286D6A616CD}" id="{00827756-8C87-FC4E-BC39-F490C56C50B7}">
    <text>Q320 Tesla shareholder letter
https://digitalassets.tesla.com/tesla-contents/image/upload/IR/TSLA-Q3-2020-Update</text>
  </threadedComment>
  <threadedComment ref="AS2" dT="2026-08-29T01:38:23.18" personId="{72341B3D-64ED-DE40-92E1-1286D6A616CD}" id="{6BB9B9F4-FBF5-9B49-8159-98C3A5C6D3BD}">
    <text>Q420 Tesla shareholder letter
https://digitalassets.tesla.com/tesla-contents/image/upload/IR/TSLA-Q4-2020-Update</text>
  </threadedComment>
  <threadedComment ref="AT2" dT="2026-08-29T01:38:23.18" personId="{72341B3D-64ED-DE40-92E1-1286D6A616CD}" id="{978DD6E5-58E1-9F42-A7E1-A314658D4B6C}">
    <text>Q121 Tesla shareholder letter
https://digitalassets.tesla.com/tesla-contents/image/upload/IR/TSLA-Q1-2021-Update</text>
  </threadedComment>
  <threadedComment ref="AU2" dT="2026-08-29T01:38:23.18" personId="{72341B3D-64ED-DE40-92E1-1286D6A616CD}" id="{9F91B916-055A-A946-9CCD-A1E2DB92D76A}">
    <text>Q221 Tesla shareholder letter
https://digitalassets.tesla.com/tesla-contents/image/upload/IR/TSLA-Q2-2021-Update</text>
  </threadedComment>
  <threadedComment ref="AV2" dT="2026-08-29T01:38:23.18" personId="{72341B3D-64ED-DE40-92E1-1286D6A616CD}" id="{A822EA57-979C-C248-99FD-6E63FC7EFEDC}">
    <text>Q321 Tesla shareholder letter
https://digitalassets.tesla.com/tesla-contents/image/upload/IR/TSLA-Q3-2021-Quarterly-Update</text>
  </threadedComment>
  <threadedComment ref="AW2" dT="2026-08-29T01:38:23.18" personId="{72341B3D-64ED-DE40-92E1-1286D6A616CD}" id="{DA7FB16A-BE59-1C4E-AEE1-B3F29AEC4585}">
    <text>Q421 Tesla shareholder letter
https://digitalassets.tesla.com/tesla-contents/image/upload/IR/TSLA-Q4-2021-Update</text>
  </threadedComment>
  <threadedComment ref="AX2" dT="2026-08-29T01:38:23.18" personId="{72341B3D-64ED-DE40-92E1-1286D6A616CD}" id="{28B12050-6E57-1549-88E4-6182ECE76F21}">
    <text>Q122 Tesla shareholder letter
https://digitalassets.tesla.com/tesla-contents/image/upload/IR/TSLA-Q1-2022-Update</text>
  </threadedComment>
  <threadedComment ref="AY2" dT="2026-08-29T01:38:23.19" personId="{72341B3D-64ED-DE40-92E1-1286D6A616CD}" id="{E50E5CDA-5BF9-BA4A-B00E-EE3CD7609C8F}">
    <text>Q222 Tesla shareholder letter
https://digitalassets.tesla.com/tesla-contents/image/upload/IR/TSLA-Q2-2022-Update</text>
  </threadedComment>
  <threadedComment ref="AZ2" dT="2026-08-29T01:38:23.19" personId="{72341B3D-64ED-DE40-92E1-1286D6A616CD}" id="{4ACDDBCB-916E-7242-9A04-C86391B224F5}">
    <text>Q322 Tesla shareholder letter
https://digitalassets.tesla.com/tesla-contents/image/upload/IR/TSLA-Q3-2022-Update</text>
  </threadedComment>
  <threadedComment ref="BA2" dT="2026-08-29T01:38:23.19" personId="{72341B3D-64ED-DE40-92E1-1286D6A616CD}" id="{82B56D2A-B009-2049-A96C-28DAEAF35590}">
    <text>Q422 Tesla shareholder letter
https://digitalassets.tesla.com/tesla-contents/image/upload/IR/TSLA-Q4-2022-Update</text>
  </threadedComment>
  <threadedComment ref="BB2" dT="2026-08-29T01:38:23.19" personId="{72341B3D-64ED-DE40-92E1-1286D6A616CD}" id="{1D287C6F-E2D2-E345-BE86-5BE0D8B9902E}">
    <text>Q123 Tesla shareholder letter
https://digitalassets.tesla.com/tesla-contents/image/upload/IR/TSLA-Q1-2023-Update</text>
  </threadedComment>
  <threadedComment ref="BC2" dT="2026-08-29T01:38:23.19" personId="{72341B3D-64ED-DE40-92E1-1286D6A616CD}" id="{35C48961-CBB3-054F-AB67-BC31DA5D496E}">
    <text>Q223 Tesla shareholder letter
https://digitalassets.tesla.com/tesla-contents/image/upload/IR/TSLA-Q2-2023-Update.pdf</text>
  </threadedComment>
  <threadedComment ref="BD2" dT="2026-08-29T01:38:23.19" personId="{72341B3D-64ED-DE40-92E1-1286D6A616CD}" id="{2B43781E-258D-B846-ADF9-31DF09F42242}">
    <text>Q323 Tesla shareholder letter
https://digitalassets.tesla.com/tesla-contents/image/upload/IR/TSLA-Q3-2023-Update-3.pdf</text>
  </threadedComment>
  <threadedComment ref="BE2" dT="2026-08-29T01:38:23.19" personId="{72341B3D-64ED-DE40-92E1-1286D6A616CD}" id="{D67A7C5D-6506-2244-878D-DB7D6AF3E3A5}">
    <text>Q423 Tesla shareholder letter
https://digitalassets.tesla.com/tesla-contents/image/upload/IR/TSLA-Q4-2023-Update.pdf</text>
  </threadedComment>
  <threadedComment ref="BF2" dT="2026-08-29T01:38:23.19" personId="{72341B3D-64ED-DE40-92E1-1286D6A616CD}" id="{762FEB78-F3D7-6C42-9A3A-8D6E51523308}">
    <text>Q124 Tesla shareholder letter
https://digitalassets.tesla.com/tesla-contents/image/upload/IR/TSLA-Q1-2024-Update.pdf</text>
  </threadedComment>
  <threadedComment ref="BG2" dT="2026-08-29T01:38:23.19" personId="{72341B3D-64ED-DE40-92E1-1286D6A616CD}" id="{F1607007-8EEC-9642-B09C-96725A8DDB3D}">
    <text>Q224 Tesla shareholder letter
https://digitalassets.tesla.com/tesla-contents/image/upload/IR/TSLA-Q2-2024-Update.pdf</text>
  </threadedComment>
  <threadedComment ref="BH2" dT="2026-08-29T01:38:23.19" personId="{72341B3D-64ED-DE40-92E1-1286D6A616CD}" id="{68BF9E4D-74F3-1E45-AB40-9313600989E6}">
    <text>Q324 Tesla shareholder letter
https://digitalassets.tesla.com/tesla-contents/image/upload/IR/TSLA-Q3-2024-Update.pdf</text>
  </threadedComment>
  <threadedComment ref="BI2" dT="2026-08-29T01:38:23.20" personId="{72341B3D-64ED-DE40-92E1-1286D6A616CD}" id="{AB337D9C-E292-2143-B82D-380CAA0E7A81}">
    <text>Q424 Tesla shareholder letter
https://digitalassets.tesla.com/tesla-contents/image/upload/IR/TSLA-Q4-2024-Update.pdf</text>
  </threadedComment>
  <threadedComment ref="BJ2" dT="2026-08-29T01:38:23.20" personId="{72341B3D-64ED-DE40-92E1-1286D6A616CD}" id="{77FB4DF4-DAF2-6E44-9ADD-0BFD928990F8}">
    <text>Q125 Tesla shareholder letter
https://digitalassets.tesla.com/tesla-contents/image/upload/IR/IR/TSLA-Q1-2025-Update.pdf</text>
  </threadedComment>
  <threadedComment ref="BK2" dT="2026-08-29T01:38:23.20" personId="{72341B3D-64ED-DE40-92E1-1286D6A616CD}" id="{FC305755-3C2E-6748-88FA-76EFEFFEC1DA}">
    <text>Q225 Tesla shareholder letter
https://www.tesla.com/sites/default/files/downloads/TSLA-Q2-2025-Update.pdf</text>
  </threadedComment>
  <threadedComment ref="BL2" dT="2026-08-29T01:38:23.20" personId="{72341B3D-64ED-DE40-92E1-1286D6A616CD}" id="{58D8461D-D8C7-F644-A557-CB2165FF1C7B}">
    <text>Q325 Tesla shareholder letter
https://assets-ir.tesla.com/tesla-contents/IR/TSLA-Q3-2025-Update.pdf</text>
  </threadedComment>
  <threadedComment ref="BM2" dT="2026-08-29T01:38:23.20" personId="{72341B3D-64ED-DE40-92E1-1286D6A616CD}" id="{F9526E8C-ABD1-B444-95D9-E6D2FD4DA32E}">
    <text>Q425 Tesla shareholder letter
https://assets-ir.tesla.com/tesla-contents/IR/TSLA-Q4-2025-Update.pdf</text>
  </threadedComment>
  <threadedComment ref="BN2" dT="2026-08-29T01:38:23.20" personId="{72341B3D-64ED-DE40-92E1-1286D6A616CD}" id="{B4213311-BB2C-BC4D-A1BC-81FAD250A680}">
    <text>Q126 Tesla shareholder letter
https://assets-ir.tesla.com/tesla-contents/IR/TSLA-Q1-2026-Update.pdf</text>
  </threadedComment>
  <threadedComment ref="BO2" dT="2026-08-29T01:38:23.21" personId="{72341B3D-64ED-DE40-92E1-1286D6A616CD}" id="{C4663125-B0BD-7E48-8EE8-B212C568F57F}">
    <text>Q226 Tesla shareholder letter
https://assets-ir.tesla.com/tesla-contents/IR/TSLA-Q2-2026-Update.pdf</text>
  </threadedComment>
</ThreadedComments>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17" Type="http://schemas.openxmlformats.org/officeDocument/2006/relationships/hyperlink" Target="https://www.sec.gov/Archives/edgar/data/1318605/000095017023013890/tsla-20230331.htm" TargetMode="External"/><Relationship Id="rId21" Type="http://schemas.openxmlformats.org/officeDocument/2006/relationships/hyperlink" Target="https://www.sec.gov/Archives/edgar/data/1318605/000119312515278803/d91160dex991.htm" TargetMode="External"/><Relationship Id="rId42" Type="http://schemas.openxmlformats.org/officeDocument/2006/relationships/hyperlink" Target="https://www.sec.gov/Archives/edgar/data/1318605/000156459020047108/tsla-ex991_57.htm" TargetMode="External"/><Relationship Id="rId63" Type="http://schemas.openxmlformats.org/officeDocument/2006/relationships/hyperlink" Target="https://www.sec.gov/Archives/edgar/data/1318605/000162828026000016/exhibit9914.htm" TargetMode="External"/><Relationship Id="rId84" Type="http://schemas.openxmlformats.org/officeDocument/2006/relationships/hyperlink" Target="https://www.sec.gov/Archives/edgar/data/1318605/000156459015001031/tsla-10k_20141231.htm" TargetMode="External"/><Relationship Id="rId16" Type="http://schemas.openxmlformats.org/officeDocument/2006/relationships/hyperlink" Target="https://www.sec.gov/Archives/edgar/data/1318605/000119312514187459/d722173dex991.htm" TargetMode="External"/><Relationship Id="rId107" Type="http://schemas.openxmlformats.org/officeDocument/2006/relationships/hyperlink" Target="https://www.sec.gov/Archives/edgar/data/1318605/000156459020047486/tsla-10q_20200930.htm" TargetMode="External"/><Relationship Id="rId11" Type="http://schemas.openxmlformats.org/officeDocument/2006/relationships/hyperlink" Target="https://www.sec.gov/Archives/edgar/data/1318605/000119312513067177/d462441dex991.htm" TargetMode="External"/><Relationship Id="rId32" Type="http://schemas.openxmlformats.org/officeDocument/2006/relationships/hyperlink" Target="https://www.sec.gov/Archives/edgar/data/1318605/000156459018010306/tsla-ex991_7.htm" TargetMode="External"/><Relationship Id="rId37" Type="http://schemas.openxmlformats.org/officeDocument/2006/relationships/hyperlink" Target="https://www.sec.gov/Archives/edgar/data/1318605/000156459019024414/tsla-ex991_14.htm" TargetMode="External"/><Relationship Id="rId53" Type="http://schemas.openxmlformats.org/officeDocument/2006/relationships/hyperlink" Target="https://www.sec.gov/Archives/edgar/data/1318605/000095017023033544/tsla-ex99_1.htm" TargetMode="External"/><Relationship Id="rId58" Type="http://schemas.openxmlformats.org/officeDocument/2006/relationships/hyperlink" Target="https://www.sec.gov/Archives/edgar/data/1318605/000162828025002993/exhibit991.htm" TargetMode="External"/><Relationship Id="rId74" Type="http://schemas.openxmlformats.org/officeDocument/2006/relationships/hyperlink" Target="https://www.sec.gov/Archives/edgar/data/1318605/000119312512332138/d364775d10q.htm" TargetMode="External"/><Relationship Id="rId79" Type="http://schemas.openxmlformats.org/officeDocument/2006/relationships/hyperlink" Target="https://www.sec.gov/Archives/edgar/data/1318605/000119312513435480/d588506d10q.htm" TargetMode="External"/><Relationship Id="rId102" Type="http://schemas.openxmlformats.org/officeDocument/2006/relationships/hyperlink" Target="https://www.sec.gov/Archives/edgar/data/1318605/000156459019026445/tsla-10q_20190630.htm" TargetMode="External"/><Relationship Id="rId123" Type="http://schemas.openxmlformats.org/officeDocument/2006/relationships/hyperlink" Target="https://www.sec.gov/Archives/edgar/data/1318605/000162828024043486/tsla-20240930.htm" TargetMode="External"/><Relationship Id="rId128" Type="http://schemas.openxmlformats.org/officeDocument/2006/relationships/hyperlink" Target="https://www.sec.gov/Archives/edgar/data/1318605/000162828026003952/tsla-20251231.htm" TargetMode="External"/><Relationship Id="rId5" Type="http://schemas.openxmlformats.org/officeDocument/2006/relationships/hyperlink" Target="https://www.sec.gov/Archives/edgar/data/1318605/000119312511208287/dex991.htm" TargetMode="External"/><Relationship Id="rId90" Type="http://schemas.openxmlformats.org/officeDocument/2006/relationships/hyperlink" Target="https://www.sec.gov/Archives/edgar/data/1318605/000156459016023024/tsla-10q_20160630.htm" TargetMode="External"/><Relationship Id="rId95" Type="http://schemas.openxmlformats.org/officeDocument/2006/relationships/hyperlink" Target="https://www.sec.gov/Archives/edgar/data/1318605/000156459017021343/tsla-10q_20170930.htm" TargetMode="External"/><Relationship Id="rId22" Type="http://schemas.openxmlformats.org/officeDocument/2006/relationships/hyperlink" Target="https://www.sec.gov/Archives/edgar/data/1318605/000119312515364285/d50904dex991.htm" TargetMode="External"/><Relationship Id="rId27" Type="http://schemas.openxmlformats.org/officeDocument/2006/relationships/hyperlink" Target="https://www.sec.gov/Archives/edgar/data/1318605/000119312517052093/d322970dex991.htm" TargetMode="External"/><Relationship Id="rId43" Type="http://schemas.openxmlformats.org/officeDocument/2006/relationships/hyperlink" Target="https://www.sec.gov/Archives/edgar/data/1318605/000156459021002645/tsla-ex991_99.htm" TargetMode="External"/><Relationship Id="rId48" Type="http://schemas.openxmlformats.org/officeDocument/2006/relationships/hyperlink" Target="https://www.sec.gov/Archives/edgar/data/1318605/000156459022014917/tsla-ex991_151.htm" TargetMode="External"/><Relationship Id="rId64" Type="http://schemas.openxmlformats.org/officeDocument/2006/relationships/hyperlink" Target="https://www.sec.gov/Archives/edgar/data/1318605/000162828026022956/exhibit9911111.htm" TargetMode="External"/><Relationship Id="rId69" Type="http://schemas.openxmlformats.org/officeDocument/2006/relationships/hyperlink" Target="https://www.sec.gov/Archives/edgar/data/1318605/000119312511139677/d10q.htm" TargetMode="External"/><Relationship Id="rId113" Type="http://schemas.openxmlformats.org/officeDocument/2006/relationships/hyperlink" Target="https://www.sec.gov/Archives/edgar/data/1318605/000095017022006034/tsla-20220331.htm" TargetMode="External"/><Relationship Id="rId118" Type="http://schemas.openxmlformats.org/officeDocument/2006/relationships/hyperlink" Target="https://www.sec.gov/Archives/edgar/data/1318605/000095017023033872/tsla-20230630.htm" TargetMode="External"/><Relationship Id="rId134" Type="http://schemas.microsoft.com/office/2017/10/relationships/threadedComment" Target="../threadedComments/threadedComment1.xml"/><Relationship Id="rId80" Type="http://schemas.openxmlformats.org/officeDocument/2006/relationships/hyperlink" Target="https://www.sec.gov/Archives/edgar/data/1318605/000119312514069681/d668062d10k.htm" TargetMode="External"/><Relationship Id="rId85" Type="http://schemas.openxmlformats.org/officeDocument/2006/relationships/hyperlink" Target="https://www.sec.gov/Archives/edgar/data/1318605/000156459015003789/tsla-10q_20150331.htm" TargetMode="External"/><Relationship Id="rId12" Type="http://schemas.openxmlformats.org/officeDocument/2006/relationships/hyperlink" Target="https://www.sec.gov/Archives/edgar/data/1318605/000119312513207910/d532640dex991.htm" TargetMode="External"/><Relationship Id="rId17" Type="http://schemas.openxmlformats.org/officeDocument/2006/relationships/hyperlink" Target="https://www.sec.gov/Archives/edgar/data/1318605/000119312514289598/d764668dex991.htm" TargetMode="External"/><Relationship Id="rId33" Type="http://schemas.openxmlformats.org/officeDocument/2006/relationships/hyperlink" Target="https://www.sec.gov/Archives/edgar/data/1318605/000156459018016465/tsla-ex991_6.htm" TargetMode="External"/><Relationship Id="rId38" Type="http://schemas.openxmlformats.org/officeDocument/2006/relationships/hyperlink" Target="https://www.sec.gov/Archives/edgar/data/1318605/000156459019037581/tsla-ex991_154.htm" TargetMode="External"/><Relationship Id="rId59" Type="http://schemas.openxmlformats.org/officeDocument/2006/relationships/hyperlink" Target="https://www.sec.gov/Archives/edgar/data/1318605/000162828025002993/exhibit991.htm" TargetMode="External"/><Relationship Id="rId103" Type="http://schemas.openxmlformats.org/officeDocument/2006/relationships/hyperlink" Target="https://www.sec.gov/Archives/edgar/data/1318605/000156459019038256/tsla-10q_20190930.htm" TargetMode="External"/><Relationship Id="rId108" Type="http://schemas.openxmlformats.org/officeDocument/2006/relationships/hyperlink" Target="https://www.sec.gov/Archives/edgar/data/1318605/000156459021004599/tsla-10k_20201231.htm" TargetMode="External"/><Relationship Id="rId124" Type="http://schemas.openxmlformats.org/officeDocument/2006/relationships/hyperlink" Target="https://www.sec.gov/Archives/edgar/data/1318605/000162828025003063/tsla-20241231.htm" TargetMode="External"/><Relationship Id="rId129" Type="http://schemas.openxmlformats.org/officeDocument/2006/relationships/hyperlink" Target="https://www.sec.gov/Archives/edgar/data/1318605/000162828026026673/tsla-20260331.htm" TargetMode="External"/><Relationship Id="rId54" Type="http://schemas.openxmlformats.org/officeDocument/2006/relationships/hyperlink" Target="https://www.sec.gov/Archives/edgar/data/1318605/000162828023034588/exhibit991.htm" TargetMode="External"/><Relationship Id="rId70" Type="http://schemas.openxmlformats.org/officeDocument/2006/relationships/hyperlink" Target="https://www.sec.gov/Archives/edgar/data/1318605/000119312511221497/d10q.htm" TargetMode="External"/><Relationship Id="rId75" Type="http://schemas.openxmlformats.org/officeDocument/2006/relationships/hyperlink" Target="https://www.sec.gov/Archives/edgar/data/1318605/000119312512457610/d410318d10q.htm" TargetMode="External"/><Relationship Id="rId91" Type="http://schemas.openxmlformats.org/officeDocument/2006/relationships/hyperlink" Target="https://www.sec.gov/Archives/edgar/data/1318605/000156459016026820/tsla-10q_20160930.htm" TargetMode="External"/><Relationship Id="rId96" Type="http://schemas.openxmlformats.org/officeDocument/2006/relationships/hyperlink" Target="https://www.sec.gov/Archives/edgar/data/1318605/000156459018002956/tsla-10k_20171231.htm" TargetMode="External"/><Relationship Id="rId1" Type="http://schemas.openxmlformats.org/officeDocument/2006/relationships/hyperlink" Target="https://www.sec.gov/Archives/edgar/data/1318605/000119312510177203/dex991.htm" TargetMode="External"/><Relationship Id="rId6" Type="http://schemas.openxmlformats.org/officeDocument/2006/relationships/hyperlink" Target="https://www.sec.gov/Archives/edgar/data/1318605/000119312511292996/d249698dex991.htm" TargetMode="External"/><Relationship Id="rId23" Type="http://schemas.openxmlformats.org/officeDocument/2006/relationships/hyperlink" Target="https://www.sec.gov/Archives/edgar/data/1318605/000119312516418701/d106308dex991.htm" TargetMode="External"/><Relationship Id="rId28" Type="http://schemas.openxmlformats.org/officeDocument/2006/relationships/hyperlink" Target="https://www.sec.gov/Archives/edgar/data/1318605/000156459017005875/tsla-ex991_6.htm" TargetMode="External"/><Relationship Id="rId49" Type="http://schemas.openxmlformats.org/officeDocument/2006/relationships/hyperlink" Target="https://www.sec.gov/Archives/edgar/data/1318605/000156459022028207/tsla-ex991_6.htm" TargetMode="External"/><Relationship Id="rId114" Type="http://schemas.openxmlformats.org/officeDocument/2006/relationships/hyperlink" Target="https://www.sec.gov/Archives/edgar/data/1318605/000095017022012936/tsla-20220630.htm" TargetMode="External"/><Relationship Id="rId119" Type="http://schemas.openxmlformats.org/officeDocument/2006/relationships/hyperlink" Target="https://www.sec.gov/Archives/edgar/data/1318605/000162828023034847/tsla-20230930.htm" TargetMode="External"/><Relationship Id="rId44" Type="http://schemas.openxmlformats.org/officeDocument/2006/relationships/hyperlink" Target="https://www.sec.gov/Archives/edgar/data/1318605/000156459021020558/tsla-ex99_136.htm" TargetMode="External"/><Relationship Id="rId60" Type="http://schemas.openxmlformats.org/officeDocument/2006/relationships/hyperlink" Target="https://www.sec.gov/Archives/edgar/data/1318605/000162828025018851/exhbit991.htm" TargetMode="External"/><Relationship Id="rId65" Type="http://schemas.openxmlformats.org/officeDocument/2006/relationships/hyperlink" Target="https://www.sec.gov/Archives/edgar/data/1318605/000162828026046717/exhibit99111111.htm" TargetMode="External"/><Relationship Id="rId81" Type="http://schemas.openxmlformats.org/officeDocument/2006/relationships/hyperlink" Target="https://www.sec.gov/Archives/edgar/data/1318605/000119312514192606/d715897d10q.htm" TargetMode="External"/><Relationship Id="rId86" Type="http://schemas.openxmlformats.org/officeDocument/2006/relationships/hyperlink" Target="https://www.sec.gov/Archives/edgar/data/1318605/000156459015006666/tsla-10q_20150630.htm" TargetMode="External"/><Relationship Id="rId130" Type="http://schemas.openxmlformats.org/officeDocument/2006/relationships/hyperlink" Target="https://www.sec.gov/Archives/edgar/data/1318605/000162828026049270/tsla-20260630.htm" TargetMode="External"/><Relationship Id="rId13" Type="http://schemas.openxmlformats.org/officeDocument/2006/relationships/hyperlink" Target="https://www.sec.gov/Archives/edgar/data/1318605/000119312513324129/d578387dex991.htm" TargetMode="External"/><Relationship Id="rId18" Type="http://schemas.openxmlformats.org/officeDocument/2006/relationships/hyperlink" Target="https://www.sec.gov/Archives/edgar/data/1318605/000119312514398650/d815233dex991.htm" TargetMode="External"/><Relationship Id="rId39" Type="http://schemas.openxmlformats.org/officeDocument/2006/relationships/hyperlink" Target="https://www.sec.gov/Archives/edgar/data/1318605/000156459020011823/tsla-ex991_6.htm" TargetMode="External"/><Relationship Id="rId109" Type="http://schemas.openxmlformats.org/officeDocument/2006/relationships/hyperlink" Target="https://www.sec.gov/Archives/edgar/data/1318605/000095017021000046/tsla-20210331.htm" TargetMode="External"/><Relationship Id="rId34" Type="http://schemas.openxmlformats.org/officeDocument/2006/relationships/hyperlink" Target="https://www.sec.gov/Archives/edgar/data/1318605/000156459018023815/tsla-ex991_6.htm" TargetMode="External"/><Relationship Id="rId50" Type="http://schemas.openxmlformats.org/officeDocument/2006/relationships/hyperlink" Target="https://www.sec.gov/Archives/edgar/data/1318605/000156459022034639/tsla-ex991_89.htm" TargetMode="External"/><Relationship Id="rId55" Type="http://schemas.openxmlformats.org/officeDocument/2006/relationships/hyperlink" Target="https://www.sec.gov/Archives/edgar/data/1318605/000162828024002390/tsla-20231231.htm" TargetMode="External"/><Relationship Id="rId76" Type="http://schemas.openxmlformats.org/officeDocument/2006/relationships/hyperlink" Target="https://www.sec.gov/Archives/edgar/data/1318605/000119312513096241/d452995d10k.htm" TargetMode="External"/><Relationship Id="rId97" Type="http://schemas.openxmlformats.org/officeDocument/2006/relationships/hyperlink" Target="https://www.sec.gov/Archives/edgar/data/1318605/000156459018011086/tsla-10q_20180331.htm" TargetMode="External"/><Relationship Id="rId104" Type="http://schemas.openxmlformats.org/officeDocument/2006/relationships/hyperlink" Target="https://www.sec.gov/Archives/edgar/data/1318605/000156459020004475/tsla-10k_20191231.htm" TargetMode="External"/><Relationship Id="rId120" Type="http://schemas.openxmlformats.org/officeDocument/2006/relationships/hyperlink" Target="https://www.sec.gov/Archives/edgar/data/1318605/000162828024002390/tsla-20231231.htm" TargetMode="External"/><Relationship Id="rId125" Type="http://schemas.openxmlformats.org/officeDocument/2006/relationships/hyperlink" Target="https://www.sec.gov/Archives/edgar/data/1318605/000162828025018911/tsla-20250331.htm" TargetMode="External"/><Relationship Id="rId7" Type="http://schemas.openxmlformats.org/officeDocument/2006/relationships/hyperlink" Target="https://www.sec.gov/Archives/edgar/data/1318605/000119312512063402/d299083dex991.htm" TargetMode="External"/><Relationship Id="rId71" Type="http://schemas.openxmlformats.org/officeDocument/2006/relationships/hyperlink" Target="https://www.sec.gov/Archives/edgar/data/1318605/000119312511308489/d226201d10q.htm" TargetMode="External"/><Relationship Id="rId92" Type="http://schemas.openxmlformats.org/officeDocument/2006/relationships/hyperlink" Target="https://www.sec.gov/Archives/edgar/data/1318605/000156459017003118/tsla-10k_20161231.htm" TargetMode="External"/><Relationship Id="rId2" Type="http://schemas.openxmlformats.org/officeDocument/2006/relationships/hyperlink" Target="https://www.sec.gov/Archives/edgar/data/1318605/000119312510254219/dex991.htm" TargetMode="External"/><Relationship Id="rId29" Type="http://schemas.openxmlformats.org/officeDocument/2006/relationships/hyperlink" Target="https://www.sec.gov/Archives/edgar/data/1318605/000156459017014920/tsla-ex991_90.htm" TargetMode="External"/><Relationship Id="rId24" Type="http://schemas.openxmlformats.org/officeDocument/2006/relationships/hyperlink" Target="https://www.sec.gov/Archives/edgar/data/1318605/000119312516577582/d158845dex991.htm" TargetMode="External"/><Relationship Id="rId40" Type="http://schemas.openxmlformats.org/officeDocument/2006/relationships/hyperlink" Target="https://www.sec.gov/Archives/edgar/data/1318605/000156459020019776/tsla-ex9901_96.htm" TargetMode="External"/><Relationship Id="rId45" Type="http://schemas.openxmlformats.org/officeDocument/2006/relationships/hyperlink" Target="https://www.sec.gov/Archives/edgar/data/1318605/000156459021037953/tsla-ex991_89.htm" TargetMode="External"/><Relationship Id="rId66" Type="http://schemas.openxmlformats.org/officeDocument/2006/relationships/hyperlink" Target="https://www.sec.gov/Archives/edgar/data/1318605/000119312510188792/d10q.htm" TargetMode="External"/><Relationship Id="rId87" Type="http://schemas.openxmlformats.org/officeDocument/2006/relationships/hyperlink" Target="https://www.sec.gov/Archives/edgar/data/1318605/000156459015009741/tsla-10q_20150930.htm" TargetMode="External"/><Relationship Id="rId110" Type="http://schemas.openxmlformats.org/officeDocument/2006/relationships/hyperlink" Target="https://www.sec.gov/Archives/edgar/data/1318605/000095017021000524/tsla-20210630.htm" TargetMode="External"/><Relationship Id="rId115" Type="http://schemas.openxmlformats.org/officeDocument/2006/relationships/hyperlink" Target="https://www.sec.gov/Archives/edgar/data/1318605/000095017022019867/tsla-20220930.htm" TargetMode="External"/><Relationship Id="rId131" Type="http://schemas.openxmlformats.org/officeDocument/2006/relationships/drawing" Target="../drawings/drawing1.xml"/><Relationship Id="rId61" Type="http://schemas.openxmlformats.org/officeDocument/2006/relationships/hyperlink" Target="https://www.sec.gov/Archives/edgar/data/1318605/000162828025035738/exhibit991.htm" TargetMode="External"/><Relationship Id="rId82" Type="http://schemas.openxmlformats.org/officeDocument/2006/relationships/hyperlink" Target="https://www.sec.gov/Archives/edgar/data/1318605/000119312514303175/d766922d10q.htm" TargetMode="External"/><Relationship Id="rId19" Type="http://schemas.openxmlformats.org/officeDocument/2006/relationships/hyperlink" Target="https://www.sec.gov/Archives/edgar/data/1318605/000119312515044423/d853966dex991.htm" TargetMode="External"/><Relationship Id="rId14" Type="http://schemas.openxmlformats.org/officeDocument/2006/relationships/hyperlink" Target="https://www.sec.gov/Archives/edgar/data/1318605/000119312513427630/d622890dex991.htm" TargetMode="External"/><Relationship Id="rId30" Type="http://schemas.openxmlformats.org/officeDocument/2006/relationships/hyperlink" Target="https://www.sec.gov/Archives/edgar/data/1318605/000156459017019158/tsla-ex991_6.htm" TargetMode="External"/><Relationship Id="rId35" Type="http://schemas.openxmlformats.org/officeDocument/2006/relationships/hyperlink" Target="https://www.sec.gov/Archives/edgar/data/1318605/000156459019010743/tsla-ex991_6.htm" TargetMode="External"/><Relationship Id="rId56" Type="http://schemas.openxmlformats.org/officeDocument/2006/relationships/hyperlink" Target="https://www.sec.gov/Archives/edgar/data/1318605/000095017024046895/tsla-ex99_1.htm" TargetMode="External"/><Relationship Id="rId77" Type="http://schemas.openxmlformats.org/officeDocument/2006/relationships/hyperlink" Target="https://www.sec.gov/Archives/edgar/data/1318605/000119312513212354/d511008d10q.htm" TargetMode="External"/><Relationship Id="rId100" Type="http://schemas.openxmlformats.org/officeDocument/2006/relationships/hyperlink" Target="https://www.sec.gov/Archives/edgar/data/1318605/000156459019003165/tsla-10k_20181231.htm" TargetMode="External"/><Relationship Id="rId105" Type="http://schemas.openxmlformats.org/officeDocument/2006/relationships/hyperlink" Target="https://www.sec.gov/Archives/edgar/data/1318605/000156459020019931/tsla-10q_20200331.htm" TargetMode="External"/><Relationship Id="rId126" Type="http://schemas.openxmlformats.org/officeDocument/2006/relationships/hyperlink" Target="https://www.sec.gov/Archives/edgar/data/1318605/000162828025035806/tsla-20250630.htm" TargetMode="External"/><Relationship Id="rId8" Type="http://schemas.openxmlformats.org/officeDocument/2006/relationships/hyperlink" Target="https://www.sec.gov/Archives/edgar/data/1318605/000119312512221988/d344520dex991.htm" TargetMode="External"/><Relationship Id="rId51" Type="http://schemas.openxmlformats.org/officeDocument/2006/relationships/hyperlink" Target="https://www.sec.gov/Archives/edgar/data/1318605/000156459023000799/tsla-ex991_127.htm" TargetMode="External"/><Relationship Id="rId72" Type="http://schemas.openxmlformats.org/officeDocument/2006/relationships/hyperlink" Target="https://www.sec.gov/Archives/edgar/data/1318605/000119312512081990/d279413d10k.htm" TargetMode="External"/><Relationship Id="rId93" Type="http://schemas.openxmlformats.org/officeDocument/2006/relationships/hyperlink" Target="https://www.sec.gov/Archives/edgar/data/1318605/000156459017009968/tsla-10q_20170331.htm" TargetMode="External"/><Relationship Id="rId98" Type="http://schemas.openxmlformats.org/officeDocument/2006/relationships/hyperlink" Target="https://www.sec.gov/Archives/edgar/data/1318605/000156459018019254/tsla-10q_20180630.htm" TargetMode="External"/><Relationship Id="rId121" Type="http://schemas.openxmlformats.org/officeDocument/2006/relationships/hyperlink" Target="https://www.sec.gov/Archives/edgar/data/1318605/000162828024017503/tsla-20240331.htm" TargetMode="External"/><Relationship Id="rId3" Type="http://schemas.openxmlformats.org/officeDocument/2006/relationships/hyperlink" Target="https://www.sec.gov/Archives/edgar/data/1318605/000119312511036784/dex991.htm" TargetMode="External"/><Relationship Id="rId25" Type="http://schemas.openxmlformats.org/officeDocument/2006/relationships/hyperlink" Target="https://www.sec.gov/Archives/edgar/data/1318605/000119312516670068/d234162dex991.htm" TargetMode="External"/><Relationship Id="rId46" Type="http://schemas.openxmlformats.org/officeDocument/2006/relationships/hyperlink" Target="https://www.sec.gov/Archives/edgar/data/1318605/000156459021051307/tsla-ex991_85.htm" TargetMode="External"/><Relationship Id="rId67" Type="http://schemas.openxmlformats.org/officeDocument/2006/relationships/hyperlink" Target="https://www.sec.gov/Archives/edgar/data/1318605/000119312510259068/d10q.htm" TargetMode="External"/><Relationship Id="rId116" Type="http://schemas.openxmlformats.org/officeDocument/2006/relationships/hyperlink" Target="https://www.sec.gov/Archives/edgar/data/1318605/000095017023001409/tsla-20221231.htm" TargetMode="External"/><Relationship Id="rId20" Type="http://schemas.openxmlformats.org/officeDocument/2006/relationships/hyperlink" Target="https://www.sec.gov/Archives/edgar/data/1318605/000119312515174639/d920831dex991.htm" TargetMode="External"/><Relationship Id="rId41" Type="http://schemas.openxmlformats.org/officeDocument/2006/relationships/hyperlink" Target="https://www.sec.gov/Archives/edgar/data/1318605/000156459020039353/tsla-ex991_6.htm" TargetMode="External"/><Relationship Id="rId62" Type="http://schemas.openxmlformats.org/officeDocument/2006/relationships/hyperlink" Target="https://www.sec.gov/Archives/edgar/data/1318605/000162828025045861/exhibit991.htm" TargetMode="External"/><Relationship Id="rId83" Type="http://schemas.openxmlformats.org/officeDocument/2006/relationships/hyperlink" Target="https://www.sec.gov/Archives/edgar/data/1318605/000119312514403635/d812482d10q.htm" TargetMode="External"/><Relationship Id="rId88" Type="http://schemas.openxmlformats.org/officeDocument/2006/relationships/hyperlink" Target="https://www.sec.gov/Archives/edgar/data/1318605/000156459016013195/tsla-10k_20151231.htm" TargetMode="External"/><Relationship Id="rId111" Type="http://schemas.openxmlformats.org/officeDocument/2006/relationships/hyperlink" Target="https://www.sec.gov/Archives/edgar/data/1318605/000095017021002253/tsla-20210930.htm" TargetMode="External"/><Relationship Id="rId132" Type="http://schemas.openxmlformats.org/officeDocument/2006/relationships/vmlDrawing" Target="../drawings/vmlDrawing2.vml"/><Relationship Id="rId15" Type="http://schemas.openxmlformats.org/officeDocument/2006/relationships/hyperlink" Target="https://www.sec.gov/Archives/edgar/data/1318605/000119312514058778/d676319dex991.htm" TargetMode="External"/><Relationship Id="rId36" Type="http://schemas.openxmlformats.org/officeDocument/2006/relationships/hyperlink" Target="https://www.sec.gov/Archives/edgar/data/1318605/000156459019018876/tsla-ex991_15.htm" TargetMode="External"/><Relationship Id="rId57" Type="http://schemas.openxmlformats.org/officeDocument/2006/relationships/hyperlink" Target="https://www.sec.gov/Archives/edgar/data/1318605/000162828024032603/exhibit.htm" TargetMode="External"/><Relationship Id="rId106" Type="http://schemas.openxmlformats.org/officeDocument/2006/relationships/hyperlink" Target="https://www.sec.gov/Archives/edgar/data/1318605/000156459020033670/tsla-10q_20200630.htm" TargetMode="External"/><Relationship Id="rId127" Type="http://schemas.openxmlformats.org/officeDocument/2006/relationships/hyperlink" Target="https://www.sec.gov/Archives/edgar/data/1318605/000162828025045968/tsla-20250930.htm" TargetMode="External"/><Relationship Id="rId10" Type="http://schemas.openxmlformats.org/officeDocument/2006/relationships/hyperlink" Target="https://www.sec.gov/Archives/edgar/data/1318605/000119312512450383/d432726dex991.htm" TargetMode="External"/><Relationship Id="rId31" Type="http://schemas.openxmlformats.org/officeDocument/2006/relationships/hyperlink" Target="https://www.sec.gov/Archives/edgar/data/1318605/000156459018001521/tsla-ex991_8.htm" TargetMode="External"/><Relationship Id="rId52" Type="http://schemas.openxmlformats.org/officeDocument/2006/relationships/hyperlink" Target="https://www.sec.gov/Archives/edgar/data/1318605/000156459023005959/tsla-ex991_99.htm" TargetMode="External"/><Relationship Id="rId73" Type="http://schemas.openxmlformats.org/officeDocument/2006/relationships/hyperlink" Target="https://www.sec.gov/Archives/edgar/data/1318605/000119312512225825/d325967d10q.htm" TargetMode="External"/><Relationship Id="rId78" Type="http://schemas.openxmlformats.org/officeDocument/2006/relationships/hyperlink" Target="https://www.sec.gov/Archives/edgar/data/1318605/000119312513327916/d549636d10q.htm" TargetMode="External"/><Relationship Id="rId94" Type="http://schemas.openxmlformats.org/officeDocument/2006/relationships/hyperlink" Target="https://www.sec.gov/Archives/edgar/data/1318605/000156459017015705/tsla-10q_20170630.htm" TargetMode="External"/><Relationship Id="rId99" Type="http://schemas.openxmlformats.org/officeDocument/2006/relationships/hyperlink" Target="https://www.sec.gov/Archives/edgar/data/1318605/000156459018026353/tsla-10q_20180930.htm" TargetMode="External"/><Relationship Id="rId101" Type="http://schemas.openxmlformats.org/officeDocument/2006/relationships/hyperlink" Target="https://www.sec.gov/Archives/edgar/data/1318605/000156459019013462/tsla-10q_20190331.htm" TargetMode="External"/><Relationship Id="rId122" Type="http://schemas.openxmlformats.org/officeDocument/2006/relationships/hyperlink" Target="https://www.sec.gov/Archives/edgar/data/1318605/000162828024032662/tsla-20240630.htm" TargetMode="External"/><Relationship Id="rId4" Type="http://schemas.openxmlformats.org/officeDocument/2006/relationships/hyperlink" Target="https://www.sec.gov/Archives/edgar/data/1318605/000119312511126139/dex991.htm" TargetMode="External"/><Relationship Id="rId9" Type="http://schemas.openxmlformats.org/officeDocument/2006/relationships/hyperlink" Target="https://www.sec.gov/Archives/edgar/data/1318605/000119312512314408/d380890dex991.htm" TargetMode="External"/><Relationship Id="rId26" Type="http://schemas.openxmlformats.org/officeDocument/2006/relationships/hyperlink" Target="https://www.sec.gov/Archives/edgar/data/1318605/000119312516747973/d273228dex991.htm" TargetMode="External"/><Relationship Id="rId47" Type="http://schemas.openxmlformats.org/officeDocument/2006/relationships/hyperlink" Target="https://www.sec.gov/Archives/edgar/data/1318605/000156459022002476/tsla-ex991_209.htm" TargetMode="External"/><Relationship Id="rId68" Type="http://schemas.openxmlformats.org/officeDocument/2006/relationships/hyperlink" Target="https://www.sec.gov/Archives/edgar/data/1318605/000119312511054847/d10k.htm" TargetMode="External"/><Relationship Id="rId89" Type="http://schemas.openxmlformats.org/officeDocument/2006/relationships/hyperlink" Target="https://www.sec.gov/Archives/edgar/data/1318605/000156459016018886/tsla-10q_20160331.htm" TargetMode="External"/><Relationship Id="rId112" Type="http://schemas.openxmlformats.org/officeDocument/2006/relationships/hyperlink" Target="https://www.sec.gov/Archives/edgar/data/1318605/000095017022000796/tsla-20211231.htm" TargetMode="External"/><Relationship Id="rId133"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9BD9ED-2B2C-2544-8EDE-5AC0250957CF}">
  <dimension ref="C3:O34"/>
  <sheetViews>
    <sheetView tabSelected="1" workbookViewId="0">
      <selection activeCell="G12" sqref="G12"/>
    </sheetView>
  </sheetViews>
  <sheetFormatPr baseColWidth="10" defaultColWidth="11" defaultRowHeight="16" x14ac:dyDescent="0.2"/>
  <cols>
    <col min="3" max="3" width="12.83203125" bestFit="1" customWidth="1"/>
    <col min="12" max="12" width="12.6640625" bestFit="1" customWidth="1"/>
  </cols>
  <sheetData>
    <row r="3" spans="3:15" x14ac:dyDescent="0.2">
      <c r="K3" t="s">
        <v>179</v>
      </c>
      <c r="L3" t="e" vm="1">
        <v>#VALUE!</v>
      </c>
    </row>
    <row r="4" spans="3:15" x14ac:dyDescent="0.2">
      <c r="C4" t="s">
        <v>116</v>
      </c>
      <c r="D4" t="s">
        <v>103</v>
      </c>
      <c r="K4" t="s">
        <v>37</v>
      </c>
      <c r="L4" s="16" cm="1">
        <f t="array" aca="1" ref="L4" ca="1">_FV(L3,"Price")</f>
        <v>380.12</v>
      </c>
      <c r="M4" s="16" cm="1">
        <f t="array" aca="1" ref="M4" ca="1">_FV(L3,"Beta")</f>
        <v>1.9121999999999999</v>
      </c>
      <c r="N4" t="str" cm="1">
        <f t="array" aca="1" ref="N4" ca="1">_FV(L3,"Industry")</f>
        <v>Automobiles &amp; Auto Parts</v>
      </c>
      <c r="O4" s="17" cm="1">
        <f t="array" aca="1" ref="O4" ca="1">_FV(L3,"Year incorporated",TRUE)</f>
        <v>2024</v>
      </c>
    </row>
    <row r="5" spans="3:15" x14ac:dyDescent="0.2">
      <c r="C5" t="s">
        <v>117</v>
      </c>
      <c r="D5" t="s">
        <v>127</v>
      </c>
      <c r="K5" t="s">
        <v>38</v>
      </c>
      <c r="L5" s="1">
        <v>3949547.3939999999</v>
      </c>
    </row>
    <row r="6" spans="3:15" x14ac:dyDescent="0.2">
      <c r="C6" t="s">
        <v>117</v>
      </c>
      <c r="D6" t="s">
        <v>134</v>
      </c>
      <c r="K6" t="s">
        <v>39</v>
      </c>
      <c r="L6" s="1">
        <f ca="1">L5*L4</f>
        <v>1501301955.40728</v>
      </c>
    </row>
    <row r="7" spans="3:15" x14ac:dyDescent="0.2">
      <c r="C7" t="s">
        <v>128</v>
      </c>
      <c r="K7" t="s">
        <v>40</v>
      </c>
      <c r="L7" s="1">
        <f>15219+28305</f>
        <v>43524</v>
      </c>
    </row>
    <row r="8" spans="3:15" x14ac:dyDescent="0.2">
      <c r="K8" t="s">
        <v>41</v>
      </c>
      <c r="L8" s="1">
        <f>1418+7924</f>
        <v>9342</v>
      </c>
    </row>
    <row r="9" spans="3:15" x14ac:dyDescent="0.2">
      <c r="K9" t="s">
        <v>42</v>
      </c>
      <c r="L9" s="1">
        <f ca="1">L6-L7+L8</f>
        <v>1501267773.40728</v>
      </c>
    </row>
    <row r="10" spans="3:15" x14ac:dyDescent="0.2">
      <c r="C10" t="s">
        <v>99</v>
      </c>
    </row>
    <row r="11" spans="3:15" x14ac:dyDescent="0.2">
      <c r="C11" t="s">
        <v>100</v>
      </c>
    </row>
    <row r="12" spans="3:15" x14ac:dyDescent="0.2">
      <c r="C12" t="s">
        <v>101</v>
      </c>
    </row>
    <row r="13" spans="3:15" x14ac:dyDescent="0.2">
      <c r="C13" t="s">
        <v>102</v>
      </c>
    </row>
    <row r="14" spans="3:15" x14ac:dyDescent="0.2">
      <c r="C14" t="s">
        <v>103</v>
      </c>
    </row>
    <row r="15" spans="3:15" x14ac:dyDescent="0.2">
      <c r="K15" t="s">
        <v>118</v>
      </c>
    </row>
    <row r="16" spans="3:15" x14ac:dyDescent="0.2">
      <c r="K16" t="s">
        <v>119</v>
      </c>
    </row>
    <row r="17" spans="3:11" x14ac:dyDescent="0.2">
      <c r="C17" t="s">
        <v>114</v>
      </c>
      <c r="K17" t="s">
        <v>120</v>
      </c>
    </row>
    <row r="18" spans="3:11" x14ac:dyDescent="0.2">
      <c r="C18" t="s">
        <v>115</v>
      </c>
      <c r="K18" t="s">
        <v>121</v>
      </c>
    </row>
    <row r="19" spans="3:11" x14ac:dyDescent="0.2">
      <c r="C19" t="s">
        <v>106</v>
      </c>
      <c r="K19" t="s">
        <v>122</v>
      </c>
    </row>
    <row r="20" spans="3:11" x14ac:dyDescent="0.2">
      <c r="C20" t="s">
        <v>107</v>
      </c>
    </row>
    <row r="21" spans="3:11" x14ac:dyDescent="0.2">
      <c r="C21" t="s">
        <v>108</v>
      </c>
    </row>
    <row r="22" spans="3:11" x14ac:dyDescent="0.2">
      <c r="C22" t="s">
        <v>109</v>
      </c>
    </row>
    <row r="23" spans="3:11" x14ac:dyDescent="0.2">
      <c r="C23" t="s">
        <v>110</v>
      </c>
    </row>
    <row r="24" spans="3:11" x14ac:dyDescent="0.2">
      <c r="C24" t="s">
        <v>111</v>
      </c>
    </row>
    <row r="26" spans="3:11" x14ac:dyDescent="0.2">
      <c r="C26" t="s">
        <v>131</v>
      </c>
      <c r="D26" t="s">
        <v>123</v>
      </c>
    </row>
    <row r="27" spans="3:11" x14ac:dyDescent="0.2">
      <c r="C27" t="s">
        <v>132</v>
      </c>
    </row>
    <row r="28" spans="3:11" x14ac:dyDescent="0.2">
      <c r="C28" t="s">
        <v>133</v>
      </c>
    </row>
    <row r="29" spans="3:11" x14ac:dyDescent="0.2">
      <c r="C29" t="s">
        <v>135</v>
      </c>
    </row>
    <row r="30" spans="3:11" x14ac:dyDescent="0.2">
      <c r="C30" t="s">
        <v>136</v>
      </c>
    </row>
    <row r="31" spans="3:11" x14ac:dyDescent="0.2">
      <c r="C31" t="s">
        <v>137</v>
      </c>
    </row>
    <row r="32" spans="3:11" x14ac:dyDescent="0.2">
      <c r="C32" t="s">
        <v>113</v>
      </c>
    </row>
    <row r="34" spans="3:3" x14ac:dyDescent="0.2">
      <c r="C34" t="s">
        <v>112</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D1473-2AA8-9C48-B00A-DBC01DC80D0B}">
  <dimension ref="B4:B11"/>
  <sheetViews>
    <sheetView workbookViewId="0">
      <selection activeCell="E37" sqref="E37"/>
    </sheetView>
  </sheetViews>
  <sheetFormatPr baseColWidth="10" defaultColWidth="11" defaultRowHeight="16" x14ac:dyDescent="0.2"/>
  <sheetData>
    <row r="4" spans="2:2" x14ac:dyDescent="0.2">
      <c r="B4" t="s">
        <v>99</v>
      </c>
    </row>
    <row r="5" spans="2:2" x14ac:dyDescent="0.2">
      <c r="B5" t="s">
        <v>129</v>
      </c>
    </row>
    <row r="6" spans="2:2" x14ac:dyDescent="0.2">
      <c r="B6" t="s">
        <v>128</v>
      </c>
    </row>
    <row r="7" spans="2:2" x14ac:dyDescent="0.2">
      <c r="B7" t="s">
        <v>130</v>
      </c>
    </row>
    <row r="9" spans="2:2" x14ac:dyDescent="0.2">
      <c r="B9" t="s">
        <v>131</v>
      </c>
    </row>
    <row r="10" spans="2:2" x14ac:dyDescent="0.2">
      <c r="B10" t="s">
        <v>132</v>
      </c>
    </row>
    <row r="11" spans="2:2" x14ac:dyDescent="0.2">
      <c r="B11" t="s">
        <v>133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BB641C-A60E-1D48-998E-8C4C1E1253D6}">
  <dimension ref="A1:CU96"/>
  <sheetViews>
    <sheetView workbookViewId="0">
      <pane xSplit="2" ySplit="2" topLeftCell="C3" activePane="bottomRight" state="frozen"/>
      <selection pane="topRight" activeCell="C1" sqref="C1"/>
      <selection pane="bottomLeft" activeCell="A3" sqref="A3"/>
      <selection pane="bottomRight" activeCell="CN2" sqref="CN2"/>
    </sheetView>
  </sheetViews>
  <sheetFormatPr baseColWidth="10" defaultColWidth="11" defaultRowHeight="16" x14ac:dyDescent="0.2"/>
  <cols>
    <col min="2" max="2" width="23.5" bestFit="1" customWidth="1"/>
    <col min="3" max="41" width="23.5" customWidth="1"/>
  </cols>
  <sheetData>
    <row r="1" spans="1:99" x14ac:dyDescent="0.2">
      <c r="C1" s="15" t="s">
        <v>177</v>
      </c>
      <c r="D1" s="15" t="s">
        <v>177</v>
      </c>
      <c r="E1" s="15" t="s">
        <v>178</v>
      </c>
      <c r="F1" s="15" t="s">
        <v>177</v>
      </c>
      <c r="G1" s="15" t="s">
        <v>177</v>
      </c>
      <c r="H1" s="15" t="s">
        <v>177</v>
      </c>
      <c r="I1" s="15" t="s">
        <v>178</v>
      </c>
      <c r="J1" s="15" t="s">
        <v>177</v>
      </c>
      <c r="K1" s="15" t="s">
        <v>177</v>
      </c>
      <c r="L1" s="15" t="s">
        <v>177</v>
      </c>
      <c r="M1" s="15" t="s">
        <v>178</v>
      </c>
      <c r="N1" s="15" t="s">
        <v>177</v>
      </c>
      <c r="O1" s="15" t="s">
        <v>177</v>
      </c>
      <c r="P1" s="15" t="s">
        <v>177</v>
      </c>
      <c r="Q1" s="15" t="s">
        <v>178</v>
      </c>
      <c r="R1" s="15" t="s">
        <v>177</v>
      </c>
      <c r="S1" s="15" t="s">
        <v>177</v>
      </c>
      <c r="T1" s="15" t="s">
        <v>177</v>
      </c>
      <c r="U1" s="15" t="s">
        <v>178</v>
      </c>
      <c r="V1" s="15" t="s">
        <v>177</v>
      </c>
      <c r="W1" s="15" t="s">
        <v>177</v>
      </c>
      <c r="X1" s="15" t="s">
        <v>177</v>
      </c>
      <c r="Y1" s="15" t="s">
        <v>178</v>
      </c>
      <c r="Z1" s="15" t="s">
        <v>177</v>
      </c>
      <c r="AA1" s="15" t="s">
        <v>177</v>
      </c>
      <c r="AB1" s="15" t="s">
        <v>177</v>
      </c>
      <c r="AC1" s="15" t="s">
        <v>178</v>
      </c>
      <c r="AD1" s="15" t="s">
        <v>177</v>
      </c>
      <c r="AE1" s="15" t="s">
        <v>177</v>
      </c>
      <c r="AF1" s="15" t="s">
        <v>177</v>
      </c>
      <c r="AG1" s="15" t="s">
        <v>178</v>
      </c>
      <c r="AH1" s="15" t="s">
        <v>177</v>
      </c>
      <c r="AI1" s="15" t="s">
        <v>177</v>
      </c>
      <c r="AJ1" s="15" t="s">
        <v>177</v>
      </c>
      <c r="AK1" s="15" t="s">
        <v>178</v>
      </c>
      <c r="AL1" s="15" t="s">
        <v>177</v>
      </c>
      <c r="AM1" s="15" t="s">
        <v>177</v>
      </c>
      <c r="AN1" s="15" t="s">
        <v>177</v>
      </c>
      <c r="AO1" s="15" t="s">
        <v>178</v>
      </c>
      <c r="AP1" s="15" t="s">
        <v>177</v>
      </c>
      <c r="AQ1" s="15" t="s">
        <v>177</v>
      </c>
      <c r="AR1" s="15" t="s">
        <v>177</v>
      </c>
      <c r="AS1" s="15" t="s">
        <v>178</v>
      </c>
      <c r="AT1" s="15" t="s">
        <v>177</v>
      </c>
      <c r="AU1" s="15" t="s">
        <v>177</v>
      </c>
      <c r="AV1" s="15" t="s">
        <v>177</v>
      </c>
      <c r="AW1" s="15" t="s">
        <v>178</v>
      </c>
      <c r="AX1" s="15" t="s">
        <v>177</v>
      </c>
      <c r="AY1" s="15" t="s">
        <v>177</v>
      </c>
      <c r="AZ1" s="15" t="s">
        <v>177</v>
      </c>
      <c r="BA1" s="15" t="s">
        <v>178</v>
      </c>
      <c r="BB1" s="15" t="s">
        <v>177</v>
      </c>
      <c r="BC1" s="15" t="s">
        <v>177</v>
      </c>
      <c r="BD1" s="15" t="s">
        <v>177</v>
      </c>
      <c r="BE1" s="15" t="s">
        <v>178</v>
      </c>
      <c r="BF1" s="15" t="s">
        <v>177</v>
      </c>
      <c r="BG1" s="15" t="s">
        <v>177</v>
      </c>
      <c r="BH1" s="15" t="s">
        <v>177</v>
      </c>
      <c r="BI1" s="15" t="s">
        <v>178</v>
      </c>
      <c r="BJ1" s="15" t="s">
        <v>177</v>
      </c>
      <c r="BK1" s="15" t="s">
        <v>177</v>
      </c>
      <c r="BL1" s="15" t="s">
        <v>177</v>
      </c>
      <c r="BM1" s="15" t="s">
        <v>178</v>
      </c>
      <c r="BN1" s="15" t="s">
        <v>177</v>
      </c>
      <c r="BO1" s="15" t="s">
        <v>177</v>
      </c>
    </row>
    <row r="2" spans="1:99" x14ac:dyDescent="0.2">
      <c r="C2" s="13" t="s">
        <v>138</v>
      </c>
      <c r="D2" s="13" t="s">
        <v>139</v>
      </c>
      <c r="E2" s="13" t="s">
        <v>140</v>
      </c>
      <c r="F2" s="13" t="s">
        <v>141</v>
      </c>
      <c r="G2" s="13" t="s">
        <v>142</v>
      </c>
      <c r="H2" s="13" t="s">
        <v>143</v>
      </c>
      <c r="I2" s="13" t="s">
        <v>144</v>
      </c>
      <c r="J2" s="13" t="s">
        <v>145</v>
      </c>
      <c r="K2" s="13" t="s">
        <v>146</v>
      </c>
      <c r="L2" s="13" t="s">
        <v>147</v>
      </c>
      <c r="M2" s="13" t="s">
        <v>148</v>
      </c>
      <c r="N2" s="13" t="s">
        <v>149</v>
      </c>
      <c r="O2" s="13" t="s">
        <v>150</v>
      </c>
      <c r="P2" s="13" t="s">
        <v>151</v>
      </c>
      <c r="Q2" s="13" t="s">
        <v>152</v>
      </c>
      <c r="R2" s="13" t="s">
        <v>153</v>
      </c>
      <c r="S2" s="13" t="s">
        <v>154</v>
      </c>
      <c r="T2" s="13" t="s">
        <v>155</v>
      </c>
      <c r="U2" s="13" t="s">
        <v>156</v>
      </c>
      <c r="V2" s="13" t="s">
        <v>157</v>
      </c>
      <c r="W2" s="13" t="s">
        <v>158</v>
      </c>
      <c r="X2" s="13" t="s">
        <v>159</v>
      </c>
      <c r="Y2" s="13" t="s">
        <v>160</v>
      </c>
      <c r="Z2" s="13" t="s">
        <v>161</v>
      </c>
      <c r="AA2" s="13" t="s">
        <v>162</v>
      </c>
      <c r="AB2" s="13" t="s">
        <v>163</v>
      </c>
      <c r="AC2" s="13" t="s">
        <v>164</v>
      </c>
      <c r="AD2" s="13" t="s">
        <v>165</v>
      </c>
      <c r="AE2" s="13" t="s">
        <v>166</v>
      </c>
      <c r="AF2" s="13" t="s">
        <v>167</v>
      </c>
      <c r="AG2" s="13" t="s">
        <v>168</v>
      </c>
      <c r="AH2" s="13" t="s">
        <v>169</v>
      </c>
      <c r="AI2" s="13" t="s">
        <v>170</v>
      </c>
      <c r="AJ2" s="13" t="s">
        <v>171</v>
      </c>
      <c r="AK2" s="13" t="s">
        <v>172</v>
      </c>
      <c r="AL2" s="13" t="s">
        <v>173</v>
      </c>
      <c r="AM2" s="13" t="s">
        <v>174</v>
      </c>
      <c r="AN2" s="13" t="s">
        <v>175</v>
      </c>
      <c r="AO2" s="13" t="s">
        <v>176</v>
      </c>
      <c r="AP2" s="13" t="s">
        <v>1</v>
      </c>
      <c r="AQ2" s="13" t="s">
        <v>2</v>
      </c>
      <c r="AR2" s="13" t="s">
        <v>3</v>
      </c>
      <c r="AS2" s="13" t="s">
        <v>4</v>
      </c>
      <c r="AT2" s="13" t="s">
        <v>5</v>
      </c>
      <c r="AU2" s="13" t="s">
        <v>6</v>
      </c>
      <c r="AV2" s="13" t="s">
        <v>7</v>
      </c>
      <c r="AW2" s="13" t="s">
        <v>8</v>
      </c>
      <c r="AX2" s="13" t="s">
        <v>9</v>
      </c>
      <c r="AY2" s="13" t="s">
        <v>10</v>
      </c>
      <c r="AZ2" s="13" t="s">
        <v>11</v>
      </c>
      <c r="BA2" s="13" t="s">
        <v>12</v>
      </c>
      <c r="BB2" s="13" t="s">
        <v>13</v>
      </c>
      <c r="BC2" s="13" t="s">
        <v>14</v>
      </c>
      <c r="BD2" s="13" t="s">
        <v>15</v>
      </c>
      <c r="BE2" s="14" t="s">
        <v>16</v>
      </c>
      <c r="BF2" s="13" t="s">
        <v>17</v>
      </c>
      <c r="BG2" s="13" t="s">
        <v>18</v>
      </c>
      <c r="BH2" s="13" t="s">
        <v>19</v>
      </c>
      <c r="BI2" s="13" t="s">
        <v>20</v>
      </c>
      <c r="BJ2" s="13" t="s">
        <v>21</v>
      </c>
      <c r="BK2" s="13" t="s">
        <v>22</v>
      </c>
      <c r="BL2" s="13" t="s">
        <v>23</v>
      </c>
      <c r="BM2" s="13" t="s">
        <v>24</v>
      </c>
      <c r="BN2" s="13" t="s">
        <v>25</v>
      </c>
      <c r="BO2" s="13" t="s">
        <v>26</v>
      </c>
      <c r="BP2" t="s">
        <v>27</v>
      </c>
      <c r="BQ2" t="s">
        <v>28</v>
      </c>
      <c r="BR2" t="s">
        <v>29</v>
      </c>
      <c r="BS2" t="s">
        <v>30</v>
      </c>
      <c r="BT2" t="s">
        <v>31</v>
      </c>
      <c r="BU2" t="s">
        <v>32</v>
      </c>
      <c r="BV2" t="s">
        <v>33</v>
      </c>
      <c r="BW2" t="s">
        <v>34</v>
      </c>
      <c r="BX2" t="s">
        <v>35</v>
      </c>
      <c r="BY2" t="s">
        <v>36</v>
      </c>
      <c r="CA2">
        <v>2010</v>
      </c>
      <c r="CB2">
        <v>2011</v>
      </c>
      <c r="CC2">
        <v>2012</v>
      </c>
      <c r="CD2">
        <v>2013</v>
      </c>
      <c r="CE2">
        <v>2014</v>
      </c>
      <c r="CF2">
        <v>2015</v>
      </c>
      <c r="CG2">
        <v>2016</v>
      </c>
      <c r="CH2">
        <v>2017</v>
      </c>
      <c r="CI2">
        <v>2018</v>
      </c>
      <c r="CJ2">
        <v>2019</v>
      </c>
      <c r="CK2">
        <v>2020</v>
      </c>
      <c r="CL2">
        <v>2021</v>
      </c>
      <c r="CM2">
        <v>2022</v>
      </c>
      <c r="CN2">
        <v>2023</v>
      </c>
      <c r="CO2">
        <v>2024</v>
      </c>
      <c r="CP2">
        <v>2025</v>
      </c>
      <c r="CQ2">
        <v>2026</v>
      </c>
      <c r="CR2">
        <v>2027</v>
      </c>
      <c r="CS2">
        <v>2028</v>
      </c>
      <c r="CT2">
        <v>2029</v>
      </c>
      <c r="CU2">
        <v>2030</v>
      </c>
    </row>
    <row r="3" spans="1:99" x14ac:dyDescent="0.2">
      <c r="AP3" s="2"/>
      <c r="AQ3" s="2"/>
      <c r="AR3" s="2"/>
      <c r="AS3" s="2"/>
      <c r="AT3" s="2"/>
      <c r="AU3" s="2"/>
      <c r="AV3" s="2"/>
      <c r="AW3" s="2"/>
      <c r="AX3" s="2"/>
      <c r="AY3" s="2"/>
      <c r="AZ3" s="2"/>
      <c r="BA3" s="2"/>
      <c r="BB3" s="2"/>
      <c r="BC3" s="2"/>
      <c r="BD3" s="2"/>
      <c r="BE3" s="2"/>
      <c r="BF3" s="2"/>
      <c r="BG3" s="2"/>
      <c r="BH3" s="2"/>
      <c r="BI3" s="2"/>
      <c r="BJ3" s="2"/>
      <c r="BK3" s="2"/>
      <c r="BL3" s="2"/>
      <c r="BM3" s="2"/>
      <c r="BN3" s="2"/>
      <c r="BO3" s="2"/>
    </row>
    <row r="4" spans="1:99" x14ac:dyDescent="0.2">
      <c r="A4" t="s">
        <v>104</v>
      </c>
      <c r="B4" t="s">
        <v>105</v>
      </c>
      <c r="AP4" s="2"/>
      <c r="AQ4" s="2"/>
      <c r="AR4" s="2"/>
      <c r="AS4" s="2"/>
      <c r="AT4" s="2"/>
      <c r="AU4" s="2"/>
      <c r="AV4" s="2"/>
      <c r="AW4" s="2"/>
      <c r="AX4" s="2"/>
      <c r="AY4" s="2"/>
      <c r="AZ4" s="2"/>
      <c r="BA4" s="2"/>
      <c r="BB4" s="2"/>
      <c r="BC4" s="2"/>
      <c r="BD4" s="2"/>
      <c r="BE4" s="2"/>
      <c r="BF4" s="2"/>
      <c r="BG4" s="2"/>
      <c r="BH4" s="2"/>
      <c r="BI4" s="2"/>
      <c r="BJ4" s="2"/>
      <c r="BK4" s="2"/>
      <c r="BL4" s="2"/>
      <c r="BM4" s="2"/>
      <c r="BN4" s="2"/>
      <c r="BO4" s="2"/>
    </row>
    <row r="5" spans="1:99" x14ac:dyDescent="0.2">
      <c r="B5" t="s">
        <v>105</v>
      </c>
      <c r="AP5" s="2"/>
      <c r="AQ5" s="2"/>
      <c r="AR5" s="2"/>
      <c r="AS5" s="2"/>
      <c r="AT5" s="2"/>
      <c r="AU5" s="2"/>
      <c r="AV5" s="2"/>
      <c r="AW5" s="2"/>
      <c r="AX5" s="2"/>
      <c r="AY5" s="2"/>
      <c r="AZ5" s="2"/>
      <c r="BA5" s="2"/>
      <c r="BB5" s="2"/>
      <c r="BC5" s="2"/>
      <c r="BD5" s="2"/>
      <c r="BE5" s="2"/>
      <c r="BF5" s="2"/>
      <c r="BG5" s="2"/>
      <c r="BH5" s="2"/>
      <c r="BI5" s="2"/>
      <c r="BJ5" s="2"/>
      <c r="BK5" s="2"/>
      <c r="BL5" s="2"/>
      <c r="BM5" s="2"/>
      <c r="BN5" s="2"/>
      <c r="BO5" s="2"/>
    </row>
    <row r="6" spans="1:99" x14ac:dyDescent="0.2">
      <c r="AP6" s="2"/>
      <c r="AQ6" s="2"/>
      <c r="AR6" s="2"/>
      <c r="AS6" s="2"/>
      <c r="AT6" s="2"/>
      <c r="AU6" s="2"/>
      <c r="AV6" s="2"/>
      <c r="AW6" s="2"/>
      <c r="AX6" s="2"/>
      <c r="AY6" s="2"/>
      <c r="AZ6" s="2"/>
      <c r="BA6" s="2"/>
      <c r="BB6" s="2"/>
      <c r="BC6" s="2"/>
      <c r="BD6" s="2"/>
      <c r="BE6" s="2"/>
      <c r="BF6" s="2"/>
      <c r="BG6" s="2"/>
      <c r="BH6" s="2"/>
      <c r="BI6" s="2"/>
      <c r="BJ6" s="2"/>
      <c r="BK6" s="2"/>
      <c r="BL6" s="2"/>
      <c r="BM6" s="2"/>
      <c r="BN6" s="2"/>
      <c r="BO6" s="2"/>
    </row>
    <row r="7" spans="1:99" x14ac:dyDescent="0.2">
      <c r="AP7" s="2"/>
      <c r="AQ7" s="2"/>
      <c r="AR7" s="2"/>
      <c r="AS7" s="2"/>
      <c r="AT7" s="2"/>
      <c r="AU7" s="2"/>
      <c r="AV7" s="2"/>
      <c r="AW7" s="2"/>
      <c r="AX7" s="2"/>
      <c r="AY7" s="2"/>
      <c r="AZ7" s="2"/>
      <c r="BA7" s="2"/>
      <c r="BB7" s="2"/>
      <c r="BC7" s="2"/>
      <c r="BD7" s="2"/>
      <c r="BE7" s="2"/>
      <c r="BF7" s="2"/>
      <c r="BG7" s="2"/>
      <c r="BH7" s="2"/>
      <c r="BI7" s="2"/>
      <c r="BJ7" s="2"/>
      <c r="BK7" s="2"/>
      <c r="BL7" s="2"/>
      <c r="BM7" s="2"/>
      <c r="BN7" s="2"/>
      <c r="BO7" s="2"/>
    </row>
    <row r="8" spans="1:99" x14ac:dyDescent="0.2">
      <c r="AP8" s="2"/>
      <c r="AQ8" s="2"/>
      <c r="AR8" s="2"/>
      <c r="AS8" s="2"/>
      <c r="AT8" s="2"/>
      <c r="AU8" s="2"/>
      <c r="AV8" s="2"/>
      <c r="AW8" s="2"/>
      <c r="AX8" s="2"/>
      <c r="AY8" s="2"/>
      <c r="AZ8" s="2"/>
      <c r="BA8" s="2"/>
      <c r="BB8" s="2"/>
      <c r="BC8" s="2"/>
      <c r="BD8" s="2"/>
      <c r="BE8" s="2"/>
      <c r="BF8" s="2"/>
      <c r="BG8" s="2"/>
      <c r="BH8" s="2"/>
      <c r="BI8" s="2"/>
      <c r="BJ8" s="2"/>
      <c r="BK8" s="2"/>
      <c r="BL8" s="2"/>
      <c r="BM8" s="2"/>
      <c r="BN8" s="2"/>
      <c r="BO8" s="2"/>
    </row>
    <row r="9" spans="1:99" x14ac:dyDescent="0.2">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c r="AG9" s="3"/>
      <c r="AH9" s="3"/>
      <c r="AI9" s="3"/>
      <c r="AJ9" s="3"/>
      <c r="AK9" s="3"/>
      <c r="AL9" s="3"/>
      <c r="AM9" s="3"/>
      <c r="AN9" s="3"/>
      <c r="AO9" s="3"/>
      <c r="AP9" s="2"/>
      <c r="AQ9" s="2"/>
      <c r="AR9" s="2"/>
      <c r="AS9" s="2"/>
      <c r="AT9" s="2"/>
      <c r="AU9" s="2"/>
      <c r="AV9" s="2"/>
      <c r="AW9" s="2"/>
      <c r="AX9" s="2"/>
      <c r="AY9" s="2"/>
      <c r="AZ9" s="2"/>
      <c r="BA9" s="2"/>
      <c r="BB9" s="2"/>
      <c r="BC9" s="2"/>
      <c r="BD9" s="2"/>
      <c r="BE9" s="2"/>
      <c r="BF9" s="2"/>
      <c r="BG9" s="2"/>
      <c r="BH9" s="2"/>
      <c r="BI9" s="2"/>
      <c r="BJ9" s="2"/>
      <c r="BK9" s="2"/>
      <c r="BL9" s="2"/>
      <c r="BM9" s="2"/>
      <c r="BN9" s="2"/>
      <c r="BO9" s="2"/>
    </row>
    <row r="10" spans="1:99" s="7" customFormat="1" x14ac:dyDescent="0.2">
      <c r="B10" s="7" t="s">
        <v>93</v>
      </c>
      <c r="AP10" s="10"/>
      <c r="AQ10" s="10"/>
      <c r="AR10" s="10"/>
      <c r="AS10" s="10"/>
      <c r="AT10" s="10"/>
      <c r="AU10" s="10"/>
      <c r="AV10" s="10"/>
      <c r="AW10" s="10"/>
      <c r="AX10" s="10"/>
      <c r="AY10" s="10"/>
      <c r="AZ10" s="10"/>
      <c r="BA10" s="10"/>
      <c r="BB10" s="10"/>
      <c r="BC10" s="10"/>
      <c r="BD10" s="10"/>
      <c r="BE10" s="10"/>
      <c r="BF10" s="10"/>
      <c r="BG10" s="10"/>
      <c r="BH10" s="10"/>
      <c r="BI10" s="10"/>
      <c r="BJ10" s="10"/>
      <c r="BK10" s="1">
        <v>396835</v>
      </c>
      <c r="BL10" s="1"/>
      <c r="BM10" s="1"/>
      <c r="BN10" s="1"/>
      <c r="BO10" s="1"/>
      <c r="BP10" s="1"/>
      <c r="BQ10" s="1"/>
      <c r="BR10" s="1"/>
      <c r="BS10" s="11"/>
      <c r="BT10" s="11"/>
      <c r="BU10" s="11"/>
    </row>
    <row r="11" spans="1:99" s="7" customFormat="1" x14ac:dyDescent="0.2">
      <c r="B11" s="7" t="s">
        <v>94</v>
      </c>
      <c r="AP11" s="10"/>
      <c r="AQ11" s="10"/>
      <c r="AR11" s="10"/>
      <c r="AS11" s="10"/>
      <c r="AT11" s="10"/>
      <c r="AU11" s="10"/>
      <c r="AV11" s="10"/>
      <c r="AW11" s="10"/>
      <c r="AX11" s="10"/>
      <c r="AY11" s="10"/>
      <c r="AZ11" s="10"/>
      <c r="BA11" s="10"/>
      <c r="BB11" s="10"/>
      <c r="BC11" s="10"/>
      <c r="BD11" s="10"/>
      <c r="BE11" s="10"/>
      <c r="BF11" s="10"/>
      <c r="BG11" s="10"/>
      <c r="BH11" s="10"/>
      <c r="BI11" s="10"/>
      <c r="BJ11" s="10"/>
      <c r="BK11" s="1">
        <v>13409</v>
      </c>
      <c r="BL11" s="1"/>
      <c r="BM11" s="1"/>
      <c r="BN11" s="1"/>
      <c r="BO11" s="1"/>
      <c r="BP11" s="1"/>
      <c r="BQ11" s="1"/>
      <c r="BR11" s="1"/>
      <c r="BS11" s="11"/>
      <c r="BT11" s="11"/>
      <c r="BU11" s="11"/>
    </row>
    <row r="12" spans="1:99" s="7" customFormat="1" x14ac:dyDescent="0.2">
      <c r="B12" s="7" t="s">
        <v>95</v>
      </c>
      <c r="AP12" s="9"/>
      <c r="AQ12" s="9"/>
      <c r="AR12" s="9"/>
      <c r="AS12" s="9"/>
      <c r="AT12" s="9"/>
      <c r="AU12" s="9"/>
      <c r="AV12" s="9"/>
      <c r="AW12" s="9"/>
      <c r="AX12" s="9"/>
      <c r="AY12" s="9"/>
      <c r="AZ12" s="9"/>
      <c r="BA12" s="9"/>
      <c r="BB12" s="9"/>
      <c r="BC12" s="9"/>
      <c r="BD12" s="9"/>
      <c r="BE12" s="9"/>
      <c r="BF12" s="9"/>
      <c r="BG12" s="9"/>
      <c r="BH12" s="9"/>
      <c r="BI12" s="9"/>
      <c r="BJ12" s="9"/>
      <c r="BK12" s="1">
        <f>SUM(BK10:BK11)</f>
        <v>410244</v>
      </c>
      <c r="BL12" s="1"/>
      <c r="BM12" s="1"/>
      <c r="BN12" s="1"/>
      <c r="BO12" s="1"/>
      <c r="BP12" s="1"/>
      <c r="BQ12" s="1"/>
      <c r="BR12" s="1"/>
    </row>
    <row r="13" spans="1:99" s="7" customFormat="1" x14ac:dyDescent="0.2">
      <c r="AP13" s="9"/>
      <c r="AQ13" s="9"/>
      <c r="AR13" s="9"/>
      <c r="AS13" s="9"/>
      <c r="AT13" s="9"/>
      <c r="AU13" s="9"/>
      <c r="AV13" s="9"/>
      <c r="AW13" s="9"/>
      <c r="AX13" s="9"/>
      <c r="AY13" s="9"/>
      <c r="AZ13" s="9"/>
      <c r="BA13" s="9"/>
      <c r="BB13" s="9"/>
      <c r="BC13" s="9"/>
      <c r="BD13" s="9"/>
      <c r="BE13" s="9"/>
      <c r="BF13" s="9"/>
      <c r="BG13" s="9"/>
      <c r="BH13" s="9"/>
      <c r="BI13" s="9"/>
      <c r="BJ13" s="9"/>
      <c r="BK13" s="1"/>
      <c r="BL13" s="1"/>
      <c r="BM13" s="1"/>
      <c r="BN13" s="1"/>
      <c r="BO13" s="1"/>
      <c r="BP13" s="1"/>
      <c r="BQ13" s="1"/>
      <c r="BR13" s="1"/>
    </row>
    <row r="14" spans="1:99" s="7" customFormat="1" x14ac:dyDescent="0.2">
      <c r="B14" s="7" t="s">
        <v>96</v>
      </c>
      <c r="AP14" s="9"/>
      <c r="AQ14" s="9"/>
      <c r="AR14" s="9"/>
      <c r="AS14" s="9"/>
      <c r="AT14" s="9"/>
      <c r="AU14" s="9"/>
      <c r="AV14" s="9"/>
      <c r="AW14" s="9"/>
      <c r="AX14" s="9"/>
      <c r="AY14" s="9"/>
      <c r="AZ14" s="9"/>
      <c r="BA14" s="9"/>
      <c r="BB14" s="9"/>
      <c r="BC14" s="9"/>
      <c r="BD14" s="9"/>
      <c r="BE14" s="9"/>
      <c r="BF14" s="9"/>
      <c r="BG14" s="9"/>
      <c r="BH14" s="9"/>
      <c r="BI14" s="9"/>
      <c r="BJ14" s="9"/>
      <c r="BK14" s="1"/>
      <c r="BL14" s="1"/>
      <c r="BM14" s="1"/>
      <c r="BN14" s="1"/>
      <c r="BO14" s="1"/>
      <c r="BP14" s="1"/>
      <c r="BQ14" s="1"/>
      <c r="BR14" s="1"/>
    </row>
    <row r="15" spans="1:99" s="7" customFormat="1" x14ac:dyDescent="0.2">
      <c r="B15" s="7" t="s">
        <v>97</v>
      </c>
      <c r="AP15" s="9"/>
      <c r="AQ15" s="9"/>
      <c r="AR15" s="9"/>
      <c r="AS15" s="9"/>
      <c r="AT15" s="9"/>
      <c r="AU15" s="9"/>
      <c r="AV15" s="9"/>
      <c r="AW15" s="9"/>
      <c r="AX15" s="9"/>
      <c r="AY15" s="9"/>
      <c r="AZ15" s="9"/>
      <c r="BA15" s="9"/>
      <c r="BB15" s="9"/>
      <c r="BC15" s="9"/>
      <c r="BD15" s="9"/>
      <c r="BE15" s="9"/>
      <c r="BF15" s="9"/>
      <c r="BG15" s="9"/>
      <c r="BH15" s="9"/>
      <c r="BI15" s="9"/>
      <c r="BJ15" s="9"/>
      <c r="BK15" s="1"/>
      <c r="BL15" s="1"/>
      <c r="BM15" s="1"/>
      <c r="BN15" s="1"/>
      <c r="BO15" s="1"/>
      <c r="BP15" s="1"/>
      <c r="BQ15" s="1"/>
      <c r="BR15" s="1"/>
    </row>
    <row r="16" spans="1:99" s="7" customFormat="1" x14ac:dyDescent="0.2">
      <c r="AP16" s="9"/>
      <c r="AQ16" s="9"/>
      <c r="AR16" s="9"/>
      <c r="AS16" s="9"/>
      <c r="AT16" s="9"/>
      <c r="AU16" s="9"/>
      <c r="AV16" s="9"/>
      <c r="AW16" s="9"/>
      <c r="AX16" s="9"/>
      <c r="AY16" s="9"/>
      <c r="AZ16" s="9"/>
      <c r="BA16" s="9"/>
      <c r="BB16" s="9"/>
      <c r="BC16" s="9"/>
      <c r="BD16" s="9"/>
      <c r="BE16" s="9"/>
      <c r="BF16" s="9"/>
      <c r="BG16" s="9"/>
      <c r="BH16" s="9"/>
      <c r="BI16" s="9"/>
      <c r="BJ16" s="9"/>
      <c r="BK16" s="1"/>
      <c r="BL16" s="1"/>
      <c r="BM16" s="1"/>
      <c r="BN16" s="1"/>
      <c r="BO16" s="1"/>
      <c r="BP16" s="1"/>
      <c r="BQ16" s="1"/>
      <c r="BR16" s="1"/>
    </row>
    <row r="17" spans="2:67" s="7" customFormat="1" x14ac:dyDescent="0.2">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row>
    <row r="18" spans="2:67" x14ac:dyDescent="0.2">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2"/>
      <c r="AQ18" s="2"/>
      <c r="AR18" s="2"/>
      <c r="AS18" s="2"/>
      <c r="AT18" s="2"/>
      <c r="AU18" s="2"/>
      <c r="AV18" s="2"/>
      <c r="AW18" s="2"/>
      <c r="AX18" s="2"/>
      <c r="AY18" s="2"/>
      <c r="AZ18" s="2"/>
      <c r="BA18" s="2"/>
      <c r="BB18" s="2"/>
      <c r="BC18" s="2"/>
      <c r="BD18" s="2"/>
      <c r="BE18" s="2"/>
      <c r="BF18" s="2"/>
      <c r="BG18" s="2"/>
      <c r="BH18" s="2"/>
      <c r="BI18" s="2"/>
      <c r="BJ18" s="2"/>
      <c r="BK18" s="2"/>
      <c r="BL18" s="2"/>
      <c r="BM18" s="2"/>
      <c r="BN18" s="2"/>
      <c r="BO18" s="2"/>
    </row>
    <row r="19" spans="2:67" x14ac:dyDescent="0.2">
      <c r="B19" t="s">
        <v>45</v>
      </c>
      <c r="BK19" s="1">
        <v>15787</v>
      </c>
      <c r="BL19" s="1">
        <v>20359</v>
      </c>
      <c r="BM19" s="1">
        <v>16750</v>
      </c>
      <c r="BN19" s="1">
        <v>15473</v>
      </c>
      <c r="BO19" s="1">
        <v>20006</v>
      </c>
    </row>
    <row r="20" spans="2:67" x14ac:dyDescent="0.2">
      <c r="B20" t="s">
        <v>49</v>
      </c>
      <c r="BK20" s="1">
        <v>13567</v>
      </c>
      <c r="BL20" s="1">
        <v>17365</v>
      </c>
      <c r="BM20" s="1">
        <v>13874</v>
      </c>
      <c r="BN20" s="1">
        <v>12616</v>
      </c>
      <c r="BO20" s="1">
        <v>16866</v>
      </c>
    </row>
    <row r="22" spans="2:67" x14ac:dyDescent="0.2">
      <c r="BK22" s="1"/>
      <c r="BL22" s="1"/>
      <c r="BM22" s="1"/>
      <c r="BN22" s="1"/>
      <c r="BO22" s="1"/>
    </row>
    <row r="23" spans="2:67" x14ac:dyDescent="0.2">
      <c r="B23" t="s">
        <v>47</v>
      </c>
      <c r="BK23" s="1">
        <v>435</v>
      </c>
      <c r="BL23" s="1">
        <v>429</v>
      </c>
      <c r="BM23" s="1">
        <v>401</v>
      </c>
      <c r="BN23" s="1">
        <v>381</v>
      </c>
      <c r="BO23" s="1">
        <v>364</v>
      </c>
    </row>
    <row r="24" spans="2:67" x14ac:dyDescent="0.2">
      <c r="B24" t="s">
        <v>51</v>
      </c>
      <c r="BK24" s="1">
        <v>228</v>
      </c>
      <c r="BL24" s="1">
        <v>225</v>
      </c>
      <c r="BM24" s="1">
        <v>206</v>
      </c>
      <c r="BN24" s="1">
        <v>196</v>
      </c>
      <c r="BO24" s="1">
        <v>187</v>
      </c>
    </row>
    <row r="26" spans="2:67" x14ac:dyDescent="0.2">
      <c r="BK26" s="1"/>
      <c r="BL26" s="1"/>
      <c r="BM26" s="1"/>
      <c r="BN26" s="1"/>
      <c r="BO26" s="1"/>
    </row>
    <row r="27" spans="2:67" x14ac:dyDescent="0.2">
      <c r="B27" t="s">
        <v>46</v>
      </c>
      <c r="BK27" s="1">
        <v>439</v>
      </c>
      <c r="BL27" s="1">
        <v>417</v>
      </c>
      <c r="BM27" s="1">
        <v>542</v>
      </c>
      <c r="BN27" s="1">
        <v>380</v>
      </c>
      <c r="BO27" s="1">
        <v>146</v>
      </c>
    </row>
    <row r="28" spans="2:67" x14ac:dyDescent="0.2">
      <c r="BK28" s="1"/>
      <c r="BL28" s="1"/>
      <c r="BM28" s="1"/>
      <c r="BN28" s="1"/>
      <c r="BO28" s="1"/>
    </row>
    <row r="29" spans="2:67" x14ac:dyDescent="0.2">
      <c r="B29" t="s">
        <v>65</v>
      </c>
      <c r="BK29" s="5">
        <f>1-(BK20/BK19)</f>
        <v>0.14062203078482294</v>
      </c>
      <c r="BL29" s="5">
        <f>1-(BL20/BL19)</f>
        <v>0.14706026818606022</v>
      </c>
      <c r="BM29" s="5">
        <f>1-(BM20/BM19)</f>
        <v>0.17170149253731348</v>
      </c>
      <c r="BN29" s="5">
        <f>1-(BN20/BN19)</f>
        <v>0.18464421896206296</v>
      </c>
      <c r="BO29" s="5">
        <f>1-(BO20/BO19)</f>
        <v>0.15695291412576229</v>
      </c>
    </row>
    <row r="30" spans="2:67" x14ac:dyDescent="0.2">
      <c r="B30" t="s">
        <v>66</v>
      </c>
      <c r="BK30" s="5">
        <f>1-(BK24/BK23)</f>
        <v>0.47586206896551719</v>
      </c>
      <c r="BL30" s="5">
        <f>1-(BL24/BL23)</f>
        <v>0.47552447552447552</v>
      </c>
      <c r="BM30" s="5">
        <f>1-(BM24/BM23)</f>
        <v>0.486284289276808</v>
      </c>
      <c r="BN30" s="5">
        <f>1-(BN24/BN23)</f>
        <v>0.48556430446194221</v>
      </c>
      <c r="BO30" s="5">
        <f>1-(BO24/BO23)</f>
        <v>0.48626373626373631</v>
      </c>
    </row>
    <row r="31" spans="2:67" x14ac:dyDescent="0.2">
      <c r="BK31" s="1"/>
      <c r="BL31" s="1"/>
      <c r="BM31" s="1"/>
      <c r="BN31" s="1"/>
      <c r="BO31" s="1"/>
    </row>
    <row r="32" spans="2:67" x14ac:dyDescent="0.2">
      <c r="B32" t="s">
        <v>43</v>
      </c>
      <c r="BK32" s="1">
        <f>BK27+BK23+BK19</f>
        <v>16661</v>
      </c>
      <c r="BL32" s="1">
        <f>BL27+BL23+BL19</f>
        <v>21205</v>
      </c>
      <c r="BM32" s="1">
        <f>BM27+BM23+BM19</f>
        <v>17693</v>
      </c>
      <c r="BN32" s="1">
        <f>BN27+BN23+BN19</f>
        <v>16234</v>
      </c>
      <c r="BO32" s="1">
        <f>BO27+BO23+BO19</f>
        <v>20516</v>
      </c>
    </row>
    <row r="33" spans="2:67" x14ac:dyDescent="0.2">
      <c r="BK33" s="1"/>
      <c r="BL33" s="1"/>
      <c r="BM33" s="1"/>
      <c r="BN33" s="1"/>
      <c r="BO33" s="1"/>
    </row>
    <row r="34" spans="2:67" x14ac:dyDescent="0.2">
      <c r="BK34" s="1"/>
      <c r="BL34" s="1"/>
      <c r="BM34" s="1"/>
      <c r="BN34" s="1"/>
      <c r="BO34" s="1"/>
    </row>
    <row r="35" spans="2:67" x14ac:dyDescent="0.2">
      <c r="B35" t="s">
        <v>98</v>
      </c>
      <c r="BK35" s="12">
        <v>9.6</v>
      </c>
      <c r="BL35" s="12">
        <v>12.5</v>
      </c>
      <c r="BM35" s="12">
        <v>14.2</v>
      </c>
      <c r="BN35" s="12">
        <v>8.8000000000000007</v>
      </c>
      <c r="BO35" s="12">
        <v>13.5</v>
      </c>
    </row>
    <row r="37" spans="2:67" x14ac:dyDescent="0.2">
      <c r="B37" t="s">
        <v>44</v>
      </c>
      <c r="BK37" s="1">
        <v>2789</v>
      </c>
      <c r="BL37" s="1">
        <v>3415</v>
      </c>
      <c r="BM37" s="1">
        <v>3837</v>
      </c>
      <c r="BN37" s="1">
        <v>2408</v>
      </c>
      <c r="BO37" s="1">
        <v>3139</v>
      </c>
    </row>
    <row r="38" spans="2:67" x14ac:dyDescent="0.2">
      <c r="B38" t="s">
        <v>52</v>
      </c>
      <c r="BK38" s="1">
        <v>1943</v>
      </c>
      <c r="BL38" s="1">
        <v>2342</v>
      </c>
      <c r="BM38" s="1">
        <v>2739</v>
      </c>
      <c r="BN38" s="1">
        <v>1456</v>
      </c>
      <c r="BO38" s="1">
        <v>2499</v>
      </c>
    </row>
    <row r="39" spans="2:67" x14ac:dyDescent="0.2">
      <c r="B39" s="7"/>
      <c r="C39" s="7"/>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row>
    <row r="40" spans="2:67" x14ac:dyDescent="0.2">
      <c r="B40" t="s">
        <v>48</v>
      </c>
      <c r="BK40" s="1">
        <v>3046</v>
      </c>
      <c r="BL40" s="1">
        <v>3475</v>
      </c>
      <c r="BM40" s="1">
        <v>3371</v>
      </c>
      <c r="BN40" s="1">
        <v>3745</v>
      </c>
      <c r="BO40" s="1">
        <v>4581</v>
      </c>
    </row>
    <row r="41" spans="2:67" x14ac:dyDescent="0.2">
      <c r="B41" t="s">
        <v>53</v>
      </c>
      <c r="BK41" s="1">
        <v>2880</v>
      </c>
      <c r="BL41" s="1">
        <v>3109</v>
      </c>
      <c r="BM41" s="1">
        <v>3073</v>
      </c>
      <c r="BN41" s="1">
        <v>3399</v>
      </c>
      <c r="BO41" s="1">
        <v>3933</v>
      </c>
    </row>
    <row r="42" spans="2:67" x14ac:dyDescent="0.2">
      <c r="BK42" s="5"/>
      <c r="BL42" s="5"/>
      <c r="BM42" s="5"/>
      <c r="BN42" s="5"/>
      <c r="BO42" s="5"/>
    </row>
    <row r="43" spans="2:67" x14ac:dyDescent="0.2">
      <c r="B43" t="s">
        <v>64</v>
      </c>
      <c r="BK43" s="5">
        <f>1-((BK24+BK20)/BK32)</f>
        <v>0.172018486285337</v>
      </c>
      <c r="BL43" s="5">
        <f>1-((BL24+BL20)/BL32)</f>
        <v>0.1704786606932327</v>
      </c>
      <c r="BM43" s="5">
        <f>1-((BM24+BM20)/BM32)</f>
        <v>0.20420505284575818</v>
      </c>
      <c r="BN43" s="5">
        <f>1-((BN24+BN20)/BN32)</f>
        <v>0.2107921645928299</v>
      </c>
      <c r="BO43" s="5">
        <f>1-((BO24+BO20)/BO32)</f>
        <v>0.16879508676155197</v>
      </c>
    </row>
    <row r="44" spans="2:67" x14ac:dyDescent="0.2">
      <c r="B44" t="s">
        <v>62</v>
      </c>
      <c r="BK44" s="5">
        <f>1-(BK38/BK37)</f>
        <v>0.30333452850484044</v>
      </c>
      <c r="BL44" s="5">
        <f>1-(BL38/BL37)</f>
        <v>0.31420204978038069</v>
      </c>
      <c r="BM44" s="5">
        <f>1-(BM38/BM37)</f>
        <v>0.28616106333072711</v>
      </c>
      <c r="BN44" s="5">
        <f>1-(BN38/BN37)</f>
        <v>0.39534883720930236</v>
      </c>
      <c r="BO44" s="5">
        <f>1-(BO38/BO37)</f>
        <v>0.20388658808537752</v>
      </c>
    </row>
    <row r="45" spans="2:67" x14ac:dyDescent="0.2">
      <c r="B45" t="s">
        <v>63</v>
      </c>
      <c r="BK45" s="5">
        <f>1-(BK41/BK40)</f>
        <v>5.4497701904136608E-2</v>
      </c>
      <c r="BL45" s="5">
        <f>1-(BL41/BL40)</f>
        <v>0.10532374100719422</v>
      </c>
      <c r="BM45" s="5">
        <f>1-(BM41/BM40)</f>
        <v>8.8401067932364241E-2</v>
      </c>
      <c r="BN45" s="5">
        <f>1-(BN41/BN40)</f>
        <v>9.2389853137516686E-2</v>
      </c>
      <c r="BO45" s="5">
        <f>1-(BO41/BO40)</f>
        <v>0.14145383104125742</v>
      </c>
    </row>
    <row r="47" spans="2:67" s="3" customFormat="1" x14ac:dyDescent="0.2">
      <c r="B47" s="3" t="s">
        <v>0</v>
      </c>
      <c r="BK47" s="6">
        <f>BK40+BK37+BK32</f>
        <v>22496</v>
      </c>
      <c r="BL47" s="3">
        <f>BL40+BL37+BL32</f>
        <v>28095</v>
      </c>
      <c r="BM47" s="3">
        <f>BM40+BM37+BM32</f>
        <v>24901</v>
      </c>
      <c r="BN47" s="3">
        <f>BN40+BN37+BN32</f>
        <v>22387</v>
      </c>
      <c r="BO47" s="3">
        <f>BO40+BO37+BO32</f>
        <v>28236</v>
      </c>
    </row>
    <row r="48" spans="2:67" x14ac:dyDescent="0.2">
      <c r="B48" t="s">
        <v>54</v>
      </c>
      <c r="BK48" s="1">
        <f>BK41+BK38+BK24+BK20</f>
        <v>18618</v>
      </c>
      <c r="BL48" s="1">
        <f>BL41+BL38+BL24+BL20</f>
        <v>23041</v>
      </c>
      <c r="BM48" s="1">
        <f>BM41+BM38+BM24+BM20</f>
        <v>19892</v>
      </c>
      <c r="BN48" s="1">
        <f>BN41+BN38+BN24+BN20</f>
        <v>17667</v>
      </c>
      <c r="BO48" s="1">
        <f>BO41+BO38+BO24+BO20</f>
        <v>23485</v>
      </c>
    </row>
    <row r="49" spans="2:67" x14ac:dyDescent="0.2">
      <c r="B49" t="s">
        <v>61</v>
      </c>
      <c r="BK49" s="1">
        <f>BK47-BK48</f>
        <v>3878</v>
      </c>
      <c r="BL49" s="1">
        <f t="shared" ref="BL49:BO49" si="0">BL47-BL48</f>
        <v>5054</v>
      </c>
      <c r="BM49" s="1">
        <f t="shared" si="0"/>
        <v>5009</v>
      </c>
      <c r="BN49" s="1">
        <f t="shared" si="0"/>
        <v>4720</v>
      </c>
      <c r="BO49" s="1">
        <f t="shared" si="0"/>
        <v>4751</v>
      </c>
    </row>
    <row r="50" spans="2:67" x14ac:dyDescent="0.2">
      <c r="B50" t="s">
        <v>55</v>
      </c>
      <c r="BK50" s="1">
        <v>1589</v>
      </c>
      <c r="BL50" s="1">
        <v>1630</v>
      </c>
      <c r="BM50" s="1">
        <v>1783</v>
      </c>
      <c r="BN50" s="1">
        <v>1946</v>
      </c>
      <c r="BO50" s="1">
        <v>2371</v>
      </c>
    </row>
    <row r="51" spans="2:67" x14ac:dyDescent="0.2">
      <c r="B51" t="s">
        <v>56</v>
      </c>
      <c r="BK51" s="1">
        <v>1366</v>
      </c>
      <c r="BL51" s="1">
        <v>1562</v>
      </c>
      <c r="BM51" s="1">
        <v>1655</v>
      </c>
      <c r="BN51" s="1">
        <v>1833</v>
      </c>
      <c r="BO51" s="1">
        <v>1982</v>
      </c>
    </row>
    <row r="52" spans="2:67" x14ac:dyDescent="0.2">
      <c r="B52" t="s">
        <v>57</v>
      </c>
      <c r="BK52">
        <v>0</v>
      </c>
      <c r="BL52">
        <v>238</v>
      </c>
      <c r="BM52">
        <v>162</v>
      </c>
      <c r="BN52">
        <v>0</v>
      </c>
      <c r="BO52">
        <v>0</v>
      </c>
    </row>
    <row r="53" spans="2:67" x14ac:dyDescent="0.2">
      <c r="B53" t="s">
        <v>58</v>
      </c>
      <c r="BK53" s="1">
        <f>SUM(BK50:BK52)</f>
        <v>2955</v>
      </c>
      <c r="BL53" s="1">
        <f t="shared" ref="BL53:BO53" si="1">SUM(BL50:BL52)</f>
        <v>3430</v>
      </c>
      <c r="BM53" s="1">
        <f t="shared" si="1"/>
        <v>3600</v>
      </c>
      <c r="BN53" s="1">
        <f t="shared" si="1"/>
        <v>3779</v>
      </c>
      <c r="BO53" s="1">
        <f t="shared" si="1"/>
        <v>4353</v>
      </c>
    </row>
    <row r="54" spans="2:67" x14ac:dyDescent="0.2">
      <c r="B54" t="s">
        <v>60</v>
      </c>
      <c r="BK54" s="1">
        <f>BK49-BK53</f>
        <v>923</v>
      </c>
      <c r="BL54" s="1">
        <f t="shared" ref="BL54:BO54" si="2">BL49-BL53</f>
        <v>1624</v>
      </c>
      <c r="BM54" s="1">
        <f t="shared" si="2"/>
        <v>1409</v>
      </c>
      <c r="BN54" s="1">
        <f t="shared" si="2"/>
        <v>941</v>
      </c>
      <c r="BO54" s="1">
        <f t="shared" si="2"/>
        <v>398</v>
      </c>
    </row>
    <row r="55" spans="2:67" x14ac:dyDescent="0.2">
      <c r="B55" t="s">
        <v>71</v>
      </c>
      <c r="BK55">
        <f>392-86</f>
        <v>306</v>
      </c>
      <c r="BL55">
        <f>439-76</f>
        <v>363</v>
      </c>
      <c r="BM55">
        <f>449-85</f>
        <v>364</v>
      </c>
      <c r="BN55">
        <f>434-92</f>
        <v>342</v>
      </c>
      <c r="BO55">
        <f>422-81</f>
        <v>341</v>
      </c>
    </row>
    <row r="56" spans="2:67" x14ac:dyDescent="0.2">
      <c r="B56" t="s">
        <v>72</v>
      </c>
      <c r="BK56">
        <f>320</f>
        <v>320</v>
      </c>
      <c r="BL56">
        <v>-28</v>
      </c>
      <c r="BM56">
        <v>-592</v>
      </c>
      <c r="BN56">
        <v>-535</v>
      </c>
      <c r="BO56">
        <v>590</v>
      </c>
    </row>
    <row r="57" spans="2:67" x14ac:dyDescent="0.2">
      <c r="B57" t="s">
        <v>68</v>
      </c>
      <c r="BK57">
        <v>359</v>
      </c>
      <c r="BL57">
        <v>570</v>
      </c>
      <c r="BM57">
        <v>325</v>
      </c>
      <c r="BN57">
        <v>257</v>
      </c>
      <c r="BO57">
        <v>201</v>
      </c>
    </row>
    <row r="58" spans="2:67" s="3" customFormat="1" x14ac:dyDescent="0.2">
      <c r="B58" s="3" t="s">
        <v>70</v>
      </c>
      <c r="BK58" s="6">
        <f>BK54+BK55+BK56-BK57</f>
        <v>1190</v>
      </c>
      <c r="BL58" s="6">
        <f t="shared" ref="BL58:BO58" si="3">BL54+BL55+BL56-BL57</f>
        <v>1389</v>
      </c>
      <c r="BM58" s="6">
        <f t="shared" si="3"/>
        <v>856</v>
      </c>
      <c r="BN58" s="6">
        <f t="shared" si="3"/>
        <v>491</v>
      </c>
      <c r="BO58" s="6">
        <f t="shared" si="3"/>
        <v>1128</v>
      </c>
    </row>
    <row r="59" spans="2:67" s="3" customFormat="1" x14ac:dyDescent="0.2"/>
    <row r="60" spans="2:67" s="7" customFormat="1" x14ac:dyDescent="0.2">
      <c r="B60" s="7" t="s">
        <v>69</v>
      </c>
      <c r="BK60" s="8">
        <f>BK57/SUM(BK54:BK56)</f>
        <v>0.23176242737249839</v>
      </c>
      <c r="BL60" s="8">
        <f t="shared" ref="BL60:BO60" si="4">BL57/SUM(BL54:BL56)</f>
        <v>0.29096477794793263</v>
      </c>
      <c r="BM60" s="8">
        <f t="shared" si="4"/>
        <v>0.275190516511431</v>
      </c>
      <c r="BN60" s="8">
        <f t="shared" si="4"/>
        <v>0.34358288770053474</v>
      </c>
      <c r="BO60" s="8">
        <f t="shared" si="4"/>
        <v>0.15124153498871332</v>
      </c>
    </row>
    <row r="62" spans="2:67" x14ac:dyDescent="0.2">
      <c r="B62" t="s">
        <v>50</v>
      </c>
      <c r="BK62" s="5">
        <f>1-(BK48/BK47)</f>
        <v>0.17238620199146515</v>
      </c>
      <c r="BL62" s="5">
        <f>1-(BL48/BL47)</f>
        <v>0.17988966008186513</v>
      </c>
      <c r="BM62" s="5">
        <f>1-(BM48/BM47)</f>
        <v>0.20115658005702586</v>
      </c>
      <c r="BN62" s="5">
        <f>1-(BN48/BN47)</f>
        <v>0.21083664626792331</v>
      </c>
      <c r="BO62" s="5">
        <f>1-(BO48/BO47)</f>
        <v>0.16826037682391271</v>
      </c>
    </row>
    <row r="63" spans="2:67" x14ac:dyDescent="0.2">
      <c r="B63" t="s">
        <v>59</v>
      </c>
      <c r="BK63" s="4">
        <f>BK54/BK47</f>
        <v>4.1029516358463726E-2</v>
      </c>
      <c r="BL63" s="4">
        <f t="shared" ref="BL63:BO63" si="5">BL54/BL47</f>
        <v>5.7803879693895714E-2</v>
      </c>
      <c r="BM63" s="4">
        <f t="shared" si="5"/>
        <v>5.6584072928798038E-2</v>
      </c>
      <c r="BN63" s="4">
        <f t="shared" si="5"/>
        <v>4.2033322910617767E-2</v>
      </c>
      <c r="BO63" s="4">
        <f t="shared" si="5"/>
        <v>1.4095480946309675E-2</v>
      </c>
    </row>
    <row r="68" spans="2:73" x14ac:dyDescent="0.2">
      <c r="B68" t="s">
        <v>73</v>
      </c>
      <c r="BK68" s="1">
        <v>36782</v>
      </c>
      <c r="BL68" s="1">
        <v>41647</v>
      </c>
      <c r="BM68" s="1">
        <v>44059</v>
      </c>
      <c r="BN68" s="1">
        <v>44743</v>
      </c>
      <c r="BO68" s="1">
        <f>15219+28305</f>
        <v>43524</v>
      </c>
      <c r="BP68" s="1"/>
      <c r="BQ68" s="1"/>
      <c r="BR68" s="1"/>
      <c r="BS68" s="1"/>
      <c r="BT68" s="1"/>
      <c r="BU68" s="1"/>
    </row>
    <row r="69" spans="2:73" x14ac:dyDescent="0.2">
      <c r="B69" t="s">
        <v>74</v>
      </c>
      <c r="BK69" s="1">
        <v>3838</v>
      </c>
      <c r="BL69" s="1">
        <v>4703</v>
      </c>
      <c r="BM69" s="1">
        <v>4576</v>
      </c>
      <c r="BN69" s="1">
        <v>3959</v>
      </c>
      <c r="BO69" s="1">
        <v>4087</v>
      </c>
      <c r="BP69" s="1"/>
      <c r="BQ69" s="1"/>
      <c r="BR69" s="1"/>
      <c r="BS69" s="1"/>
      <c r="BT69" s="1"/>
      <c r="BU69" s="1"/>
    </row>
    <row r="70" spans="2:73" x14ac:dyDescent="0.2">
      <c r="B70" t="s">
        <v>75</v>
      </c>
      <c r="BK70" s="1">
        <v>14570</v>
      </c>
      <c r="BL70" s="1">
        <v>12276</v>
      </c>
      <c r="BM70" s="1">
        <v>12392</v>
      </c>
      <c r="BN70" s="1">
        <v>14434</v>
      </c>
      <c r="BO70" s="1">
        <v>13752</v>
      </c>
      <c r="BP70" s="1"/>
      <c r="BQ70" s="1"/>
      <c r="BR70" s="1"/>
      <c r="BS70" s="1"/>
      <c r="BT70" s="1"/>
      <c r="BU70" s="1"/>
    </row>
    <row r="71" spans="2:73" x14ac:dyDescent="0.2">
      <c r="B71" t="s">
        <v>76</v>
      </c>
      <c r="BK71" s="1">
        <v>5943</v>
      </c>
      <c r="BL71" s="1">
        <v>6027</v>
      </c>
      <c r="BM71" s="1">
        <v>7615</v>
      </c>
      <c r="BN71" s="1">
        <v>6612</v>
      </c>
      <c r="BO71" s="1">
        <v>7395</v>
      </c>
      <c r="BP71" s="1"/>
      <c r="BQ71" s="1"/>
      <c r="BR71" s="1"/>
      <c r="BS71" s="1"/>
      <c r="BT71" s="1"/>
      <c r="BU71" s="1"/>
    </row>
    <row r="72" spans="2:73" x14ac:dyDescent="0.2">
      <c r="B72" t="s">
        <v>77</v>
      </c>
      <c r="BK72" s="1">
        <v>5230</v>
      </c>
      <c r="BL72" s="1">
        <v>5019</v>
      </c>
      <c r="BM72" s="1">
        <v>4912</v>
      </c>
      <c r="BN72" s="1"/>
      <c r="BO72" s="1">
        <v>4253</v>
      </c>
      <c r="BP72" s="1"/>
      <c r="BQ72" s="1"/>
      <c r="BR72" s="1"/>
      <c r="BS72" s="1"/>
      <c r="BT72" s="1"/>
      <c r="BU72" s="1"/>
    </row>
    <row r="73" spans="2:73" x14ac:dyDescent="0.2">
      <c r="B73" t="s">
        <v>78</v>
      </c>
      <c r="BK73" s="1">
        <v>4788</v>
      </c>
      <c r="BL73" s="1">
        <v>4673</v>
      </c>
      <c r="BM73" s="1">
        <v>4604</v>
      </c>
      <c r="BN73" s="1"/>
      <c r="BO73" s="1">
        <v>4510</v>
      </c>
      <c r="BP73" s="1"/>
      <c r="BQ73" s="1"/>
      <c r="BR73" s="1"/>
      <c r="BS73" s="1"/>
      <c r="BT73" s="1"/>
      <c r="BU73" s="1"/>
    </row>
    <row r="74" spans="2:73" x14ac:dyDescent="0.2">
      <c r="B74" t="s">
        <v>79</v>
      </c>
      <c r="BK74" s="1">
        <v>38574</v>
      </c>
      <c r="BL74" s="1">
        <v>39407</v>
      </c>
      <c r="BM74" s="1">
        <v>40643</v>
      </c>
      <c r="BN74" s="1"/>
      <c r="BO74" s="1">
        <v>47255</v>
      </c>
      <c r="BP74" s="1"/>
      <c r="BQ74" s="1"/>
      <c r="BR74" s="1"/>
      <c r="BS74" s="1"/>
      <c r="BT74" s="1"/>
      <c r="BU74" s="1"/>
    </row>
    <row r="75" spans="2:73" x14ac:dyDescent="0.2">
      <c r="B75" t="s">
        <v>80</v>
      </c>
      <c r="BK75" s="1">
        <v>5633</v>
      </c>
      <c r="BL75" s="1">
        <v>5783</v>
      </c>
      <c r="BM75" s="1">
        <v>6027</v>
      </c>
      <c r="BN75" s="1"/>
      <c r="BO75" s="1">
        <v>6386</v>
      </c>
      <c r="BP75" s="1"/>
      <c r="BQ75" s="1"/>
      <c r="BR75" s="1"/>
      <c r="BS75" s="1"/>
      <c r="BT75" s="1"/>
      <c r="BU75" s="1"/>
    </row>
    <row r="76" spans="2:73" x14ac:dyDescent="0.2">
      <c r="B76" t="s">
        <v>81</v>
      </c>
      <c r="BK76" s="1">
        <v>1235</v>
      </c>
      <c r="BL76" s="1">
        <v>1315</v>
      </c>
      <c r="BM76" s="1">
        <v>1008</v>
      </c>
      <c r="BN76" s="1"/>
      <c r="BO76" s="1">
        <v>674</v>
      </c>
      <c r="BP76" s="1"/>
      <c r="BQ76" s="1"/>
      <c r="BR76" s="1"/>
      <c r="BS76" s="1"/>
      <c r="BT76" s="1"/>
      <c r="BU76" s="1"/>
    </row>
    <row r="77" spans="2:73" x14ac:dyDescent="0.2">
      <c r="B77" t="s">
        <v>82</v>
      </c>
      <c r="BK77" s="1">
        <v>6721</v>
      </c>
      <c r="BL77" s="1">
        <v>6637</v>
      </c>
      <c r="BM77" s="1">
        <v>6925</v>
      </c>
      <c r="BN77" s="1"/>
      <c r="BO77" s="1">
        <v>7235</v>
      </c>
      <c r="BP77" s="1"/>
      <c r="BQ77" s="1"/>
      <c r="BR77" s="1"/>
      <c r="BS77" s="1"/>
      <c r="BT77" s="1"/>
      <c r="BU77" s="1"/>
    </row>
    <row r="78" spans="2:73" x14ac:dyDescent="0.2">
      <c r="B78" t="s">
        <v>67</v>
      </c>
      <c r="BK78" s="1">
        <v>5253</v>
      </c>
      <c r="BL78" s="1">
        <v>6248</v>
      </c>
      <c r="BM78" s="1">
        <v>5045</v>
      </c>
      <c r="BN78" s="1"/>
      <c r="BO78" s="1">
        <v>9453</v>
      </c>
      <c r="BP78" s="1"/>
      <c r="BQ78" s="1"/>
      <c r="BR78" s="1"/>
      <c r="BS78" s="1"/>
      <c r="BT78" s="1"/>
      <c r="BU78" s="1"/>
    </row>
    <row r="79" spans="2:73" x14ac:dyDescent="0.2">
      <c r="B79" t="s">
        <v>83</v>
      </c>
      <c r="BK79" s="1">
        <f>SUM(BK68:BK78)</f>
        <v>128567</v>
      </c>
      <c r="BL79" s="1">
        <f>SUM(BL68:BL78)</f>
        <v>133735</v>
      </c>
      <c r="BM79" s="1">
        <f t="shared" ref="BM79:BO79" si="6">SUM(BM68:BM78)</f>
        <v>137806</v>
      </c>
      <c r="BN79" s="1">
        <f t="shared" si="6"/>
        <v>69748</v>
      </c>
      <c r="BO79" s="1">
        <f t="shared" si="6"/>
        <v>148524</v>
      </c>
      <c r="BP79" s="1"/>
      <c r="BQ79" s="1"/>
      <c r="BR79" s="1"/>
      <c r="BS79" s="1"/>
      <c r="BT79" s="1"/>
      <c r="BU79" s="1"/>
    </row>
    <row r="80" spans="2:73" x14ac:dyDescent="0.2">
      <c r="BK80" s="1"/>
      <c r="BL80" s="1"/>
      <c r="BM80" s="1"/>
      <c r="BN80" s="1"/>
      <c r="BO80" s="1"/>
      <c r="BP80" s="1"/>
      <c r="BQ80" s="1"/>
      <c r="BR80" s="1"/>
      <c r="BS80" s="1"/>
      <c r="BT80" s="1"/>
      <c r="BU80" s="1"/>
    </row>
    <row r="81" spans="2:73" x14ac:dyDescent="0.2">
      <c r="B81" t="s">
        <v>84</v>
      </c>
      <c r="BK81" s="1">
        <v>13212</v>
      </c>
      <c r="BL81" s="1">
        <v>12819</v>
      </c>
      <c r="BM81" s="1">
        <v>13371</v>
      </c>
      <c r="BN81" s="1"/>
      <c r="BO81" s="1">
        <v>15324</v>
      </c>
      <c r="BP81" s="1"/>
      <c r="BQ81" s="1"/>
      <c r="BR81" s="1"/>
      <c r="BS81" s="1"/>
      <c r="BT81" s="1"/>
      <c r="BU81" s="1"/>
    </row>
    <row r="82" spans="2:73" x14ac:dyDescent="0.2">
      <c r="B82" t="s">
        <v>85</v>
      </c>
      <c r="BK82" s="1">
        <v>11519</v>
      </c>
      <c r="BL82" s="1">
        <v>12791</v>
      </c>
      <c r="BM82" s="1">
        <v>13279</v>
      </c>
      <c r="BN82" s="1"/>
      <c r="BO82" s="1">
        <v>15256</v>
      </c>
      <c r="BP82" s="1"/>
      <c r="BQ82" s="1"/>
      <c r="BR82" s="1"/>
      <c r="BS82" s="1"/>
      <c r="BT82" s="1"/>
      <c r="BU82" s="1"/>
    </row>
    <row r="83" spans="2:73" x14ac:dyDescent="0.2">
      <c r="B83" t="s">
        <v>88</v>
      </c>
      <c r="BK83" s="1">
        <v>3237</v>
      </c>
      <c r="BL83" s="1">
        <v>3756</v>
      </c>
      <c r="BM83" s="1">
        <v>3424</v>
      </c>
      <c r="BN83" s="1"/>
      <c r="BO83" s="1">
        <v>3427</v>
      </c>
      <c r="BP83" s="1"/>
      <c r="BQ83" s="1"/>
      <c r="BR83" s="1"/>
      <c r="BS83" s="1"/>
      <c r="BT83" s="1"/>
      <c r="BU83" s="1"/>
    </row>
    <row r="84" spans="2:73" x14ac:dyDescent="0.2">
      <c r="B84" t="s">
        <v>86</v>
      </c>
      <c r="BK84" s="1">
        <v>2040</v>
      </c>
      <c r="BL84" s="1">
        <v>1924</v>
      </c>
      <c r="BM84" s="1">
        <v>1640</v>
      </c>
      <c r="BN84" s="1"/>
      <c r="BO84" s="1">
        <v>1418</v>
      </c>
      <c r="BP84" s="1"/>
      <c r="BQ84" s="1"/>
      <c r="BR84" s="1"/>
      <c r="BS84" s="1"/>
      <c r="BT84" s="1"/>
      <c r="BU84" s="1"/>
    </row>
    <row r="85" spans="2:73" x14ac:dyDescent="0.2">
      <c r="B85" t="s">
        <v>87</v>
      </c>
      <c r="BK85" s="1">
        <v>5180</v>
      </c>
      <c r="BL85" s="1">
        <v>5778</v>
      </c>
      <c r="BM85" s="1">
        <v>6736</v>
      </c>
      <c r="BN85" s="1"/>
      <c r="BO85" s="1">
        <v>7924</v>
      </c>
      <c r="BP85" s="1"/>
      <c r="BQ85" s="1"/>
      <c r="BR85" s="1"/>
      <c r="BS85" s="1"/>
      <c r="BT85" s="1"/>
      <c r="BU85" s="1"/>
    </row>
    <row r="86" spans="2:73" x14ac:dyDescent="0.2">
      <c r="B86" t="s">
        <v>89</v>
      </c>
      <c r="BK86" s="1">
        <v>3764</v>
      </c>
      <c r="BL86" s="1">
        <v>3746</v>
      </c>
      <c r="BM86" s="1">
        <v>3631</v>
      </c>
      <c r="BN86" s="1"/>
      <c r="BO86" s="1">
        <v>4073</v>
      </c>
      <c r="BP86" s="1"/>
      <c r="BQ86" s="1"/>
      <c r="BR86" s="1"/>
      <c r="BS86" s="1"/>
      <c r="BT86" s="1"/>
      <c r="BU86" s="1"/>
    </row>
    <row r="87" spans="2:73" x14ac:dyDescent="0.2">
      <c r="B87" t="s">
        <v>90</v>
      </c>
      <c r="BK87" s="1">
        <v>11543</v>
      </c>
      <c r="BL87" s="1">
        <v>12205</v>
      </c>
      <c r="BM87" s="1">
        <v>12860</v>
      </c>
      <c r="BN87" s="1"/>
      <c r="BO87" s="1">
        <v>13583</v>
      </c>
      <c r="BP87" s="1"/>
      <c r="BQ87" s="1"/>
      <c r="BR87" s="1"/>
      <c r="BS87" s="1"/>
      <c r="BT87" s="1"/>
      <c r="BU87" s="1"/>
    </row>
    <row r="88" spans="2:73" x14ac:dyDescent="0.2">
      <c r="B88" t="s">
        <v>91</v>
      </c>
      <c r="BK88" s="1">
        <f>SUM(BK81:BK87)</f>
        <v>50495</v>
      </c>
      <c r="BL88" s="1">
        <f t="shared" ref="BL88:BO88" si="7">SUM(BL81:BL87)</f>
        <v>53019</v>
      </c>
      <c r="BM88" s="1">
        <f t="shared" si="7"/>
        <v>54941</v>
      </c>
      <c r="BN88" s="1">
        <f t="shared" si="7"/>
        <v>0</v>
      </c>
      <c r="BO88" s="1">
        <f t="shared" si="7"/>
        <v>61005</v>
      </c>
      <c r="BP88" s="1"/>
      <c r="BQ88" s="1"/>
      <c r="BR88" s="1"/>
      <c r="BS88" s="1"/>
      <c r="BT88" s="1"/>
      <c r="BU88" s="1"/>
    </row>
    <row r="89" spans="2:73" x14ac:dyDescent="0.2">
      <c r="BK89" s="1"/>
      <c r="BL89" s="1"/>
      <c r="BM89" s="1"/>
      <c r="BN89" s="1"/>
      <c r="BO89" s="1"/>
      <c r="BP89" s="1"/>
      <c r="BQ89" s="1"/>
      <c r="BR89" s="1"/>
      <c r="BS89" s="1"/>
      <c r="BT89" s="1"/>
      <c r="BU89" s="1"/>
    </row>
    <row r="90" spans="2:73" x14ac:dyDescent="0.2">
      <c r="B90" t="s">
        <v>126</v>
      </c>
      <c r="BK90" s="1"/>
      <c r="BL90" s="1"/>
      <c r="BM90" s="1">
        <v>58</v>
      </c>
      <c r="BN90" s="1"/>
      <c r="BO90" s="1">
        <v>54</v>
      </c>
      <c r="BP90" s="1"/>
      <c r="BQ90" s="1"/>
      <c r="BR90" s="1"/>
      <c r="BS90" s="1"/>
      <c r="BT90" s="1"/>
      <c r="BU90" s="1"/>
    </row>
    <row r="91" spans="2:73" s="1" customFormat="1" x14ac:dyDescent="0.2"/>
    <row r="92" spans="2:73" x14ac:dyDescent="0.2">
      <c r="B92" t="s">
        <v>92</v>
      </c>
      <c r="BK92" s="1">
        <f>BK79-BK88-BK90-BK94</f>
        <v>78072</v>
      </c>
      <c r="BL92" s="1">
        <f>BL79-BL88-BL90-BL94</f>
        <v>80716</v>
      </c>
      <c r="BM92" s="1">
        <f>BM79-BM88-BM90-BM94</f>
        <v>82137</v>
      </c>
      <c r="BN92" s="1">
        <f>BN79-BN88-BN90-BN94</f>
        <v>69748</v>
      </c>
      <c r="BO92" s="1">
        <f>BO79-BO88-BO90-BO94</f>
        <v>86858</v>
      </c>
      <c r="BP92" s="1"/>
      <c r="BQ92" s="1"/>
      <c r="BR92" s="1"/>
      <c r="BS92" s="1"/>
      <c r="BT92" s="1"/>
      <c r="BU92" s="1"/>
    </row>
    <row r="93" spans="2:73" x14ac:dyDescent="0.2">
      <c r="B93" t="s">
        <v>124</v>
      </c>
      <c r="BM93">
        <v>3751</v>
      </c>
      <c r="BN93">
        <v>3755</v>
      </c>
      <c r="BO93">
        <v>3949</v>
      </c>
    </row>
    <row r="94" spans="2:73" x14ac:dyDescent="0.2">
      <c r="B94" t="s">
        <v>125</v>
      </c>
      <c r="BM94">
        <v>670</v>
      </c>
      <c r="BO94">
        <v>607</v>
      </c>
    </row>
    <row r="96" spans="2:73" x14ac:dyDescent="0.2">
      <c r="BM96" s="1"/>
    </row>
  </sheetData>
  <hyperlinks>
    <hyperlink ref="C2" r:id="rId1" display="https://www.sec.gov/Archives/edgar/data/1318605/000119312510177203/dex991.htm" xr:uid="{775B1F7A-0503-4B4B-99C0-29D739E4ADAE}"/>
    <hyperlink ref="D2" r:id="rId2" display="https://www.sec.gov/Archives/edgar/data/1318605/000119312510254219/dex991.htm" xr:uid="{A7E7F177-CF75-4045-9CF8-DED0DCCCCC0C}"/>
    <hyperlink ref="E2" r:id="rId3" display="https://www.sec.gov/Archives/edgar/data/1318605/000119312511036784/dex991.htm" xr:uid="{283EEE64-CF7D-4B50-85DB-CE3242A67FDB}"/>
    <hyperlink ref="F2" r:id="rId4" display="https://www.sec.gov/Archives/edgar/data/1318605/000119312511126139/dex991.htm" xr:uid="{1DAEF69F-E2EC-4BA5-BCB1-5DCB1791AFC0}"/>
    <hyperlink ref="G2" r:id="rId5" display="https://www.sec.gov/Archives/edgar/data/1318605/000119312511208287/dex991.htm" xr:uid="{9DEBB3B2-7C36-4FD8-9D49-B207B37C4C99}"/>
    <hyperlink ref="H2" r:id="rId6" display="https://www.sec.gov/Archives/edgar/data/1318605/000119312511292996/d249698dex991.htm" xr:uid="{331ABD76-9AF2-491B-B35D-8D7D88C87DD4}"/>
    <hyperlink ref="I2" r:id="rId7" display="https://www.sec.gov/Archives/edgar/data/1318605/000119312512063402/d299083dex991.htm" xr:uid="{845A975C-997A-4BDB-AF7E-B72FDA1C0E09}"/>
    <hyperlink ref="J2" r:id="rId8" display="https://www.sec.gov/Archives/edgar/data/1318605/000119312512221988/d344520dex991.htm" xr:uid="{6679DEC0-F8C8-4CF3-B07C-8AEA91B55F70}"/>
    <hyperlink ref="K2" r:id="rId9" display="https://www.sec.gov/Archives/edgar/data/1318605/000119312512314408/d380890dex991.htm" xr:uid="{B8508479-317D-498D-B48C-6F5109FAFB4F}"/>
    <hyperlink ref="L2" r:id="rId10" display="https://www.sec.gov/Archives/edgar/data/1318605/000119312512450383/d432726dex991.htm" xr:uid="{E7632EB3-A1F5-4495-94EC-41894AA6613B}"/>
    <hyperlink ref="M2" r:id="rId11" display="https://www.sec.gov/Archives/edgar/data/1318605/000119312513067177/d462441dex991.htm" xr:uid="{C41A7FD1-0259-412F-B7E4-B716A922C39B}"/>
    <hyperlink ref="N2" r:id="rId12" display="https://www.sec.gov/Archives/edgar/data/1318605/000119312513207910/d532640dex991.htm" xr:uid="{3A25E4C6-C43F-447D-913D-F540F4886AEE}"/>
    <hyperlink ref="O2" r:id="rId13" display="https://www.sec.gov/Archives/edgar/data/1318605/000119312513324129/d578387dex991.htm" xr:uid="{64B3B4D7-E824-4CD2-B391-1036E0A0792B}"/>
    <hyperlink ref="P2" r:id="rId14" display="https://www.sec.gov/Archives/edgar/data/1318605/000119312513427630/d622890dex991.htm" xr:uid="{C3499236-627B-40C1-A52D-24F27D0DEB37}"/>
    <hyperlink ref="Q2" r:id="rId15" display="https://www.sec.gov/Archives/edgar/data/1318605/000119312514058778/d676319dex991.htm" xr:uid="{A14D58A5-5103-4247-8CCE-4DE57936D148}"/>
    <hyperlink ref="R2" r:id="rId16" display="https://www.sec.gov/Archives/edgar/data/1318605/000119312514187459/d722173dex991.htm" xr:uid="{7CD6B214-5EFA-484A-9F3D-400ADFFA1B5A}"/>
    <hyperlink ref="S2" r:id="rId17" display="https://www.sec.gov/Archives/edgar/data/1318605/000119312514289598/d764668dex991.htm" xr:uid="{28E9A335-887D-4D8A-8B89-615EAB3D46F2}"/>
    <hyperlink ref="T2" r:id="rId18" display="https://www.sec.gov/Archives/edgar/data/1318605/000119312514398650/d815233dex991.htm" xr:uid="{42A24453-3A74-4A98-8B73-5BA392295283}"/>
    <hyperlink ref="U2" r:id="rId19" display="https://www.sec.gov/Archives/edgar/data/1318605/000119312515044423/d853966dex991.htm" xr:uid="{C3660CFE-9616-4F3D-A802-F63942CCEA08}"/>
    <hyperlink ref="V2" r:id="rId20" display="https://www.sec.gov/Archives/edgar/data/1318605/000119312515174639/d920831dex991.htm" xr:uid="{D6C2CD13-89DC-42EA-BFE2-AFA62848DB7A}"/>
    <hyperlink ref="W2" r:id="rId21" display="https://www.sec.gov/Archives/edgar/data/1318605/000119312515278803/d91160dex991.htm" xr:uid="{35C41C7F-31D1-4FB2-96C8-3DA32EAEFE30}"/>
    <hyperlink ref="X2" r:id="rId22" display="https://www.sec.gov/Archives/edgar/data/1318605/000119312515364285/d50904dex991.htm" xr:uid="{C4E22167-4E5D-4B45-BF26-686411883CFE}"/>
    <hyperlink ref="Y2" r:id="rId23" display="https://www.sec.gov/Archives/edgar/data/1318605/000119312516418701/d106308dex991.htm" xr:uid="{2CDEE11B-7F07-4AA3-B8EB-AD7AB7DA80A2}"/>
    <hyperlink ref="Z2" r:id="rId24" display="https://www.sec.gov/Archives/edgar/data/1318605/000119312516577582/d158845dex991.htm" xr:uid="{F4692AFC-8290-49EC-894B-198AA1605769}"/>
    <hyperlink ref="AA2" r:id="rId25" display="https://www.sec.gov/Archives/edgar/data/1318605/000119312516670068/d234162dex991.htm" xr:uid="{7CB07A62-B0C0-4496-84F3-397CED1018F5}"/>
    <hyperlink ref="AB2" r:id="rId26" display="https://www.sec.gov/Archives/edgar/data/1318605/000119312516747973/d273228dex991.htm" xr:uid="{540551A8-290C-49F2-959E-072DE5AD94B2}"/>
    <hyperlink ref="AC2" r:id="rId27" display="https://www.sec.gov/Archives/edgar/data/1318605/000119312517052093/d322970dex991.htm" xr:uid="{0DFA0628-3327-46CA-A2DA-FDD61BD6DF6F}"/>
    <hyperlink ref="AD2" r:id="rId28" display="https://www.sec.gov/Archives/edgar/data/1318605/000156459017005875/tsla-ex991_6.htm" xr:uid="{A4ED9A6D-EEA8-49C5-8FE2-BFFECE0E46B7}"/>
    <hyperlink ref="AE2" r:id="rId29" display="https://www.sec.gov/Archives/edgar/data/1318605/000156459017014920/tsla-ex991_90.htm" xr:uid="{1BB49736-CCE6-4A29-9A9D-9C35786A8F60}"/>
    <hyperlink ref="AF2" r:id="rId30" display="https://www.sec.gov/Archives/edgar/data/1318605/000156459017019158/tsla-ex991_6.htm" xr:uid="{4FCDC108-15D7-4A93-BE69-329907537AD9}"/>
    <hyperlink ref="AG2" r:id="rId31" display="https://www.sec.gov/Archives/edgar/data/1318605/000156459018001521/tsla-ex991_8.htm" xr:uid="{77777E9F-7D61-4D08-A774-03FE706CB263}"/>
    <hyperlink ref="AH2" r:id="rId32" display="https://www.sec.gov/Archives/edgar/data/1318605/000156459018010306/tsla-ex991_7.htm" xr:uid="{93EA06A4-26A5-4CFE-84F1-5BE3DD648C64}"/>
    <hyperlink ref="AI2" r:id="rId33" display="https://www.sec.gov/Archives/edgar/data/1318605/000156459018016465/tsla-ex991_6.htm" xr:uid="{BBD63EEF-C4CB-4338-868A-E0B696062AB7}"/>
    <hyperlink ref="AJ2" r:id="rId34" display="https://www.sec.gov/Archives/edgar/data/1318605/000156459018023815/tsla-ex991_6.htm" xr:uid="{1BCFB5C0-5DFB-40D9-AA4A-28971C3A2B7B}"/>
    <hyperlink ref="AK2" r:id="rId35" display="https://www.sec.gov/Archives/edgar/data/1318605/000156459019010743/tsla-ex991_6.htm" xr:uid="{5F85029C-8A80-460F-9F56-219C1C9D35E8}"/>
    <hyperlink ref="AL2" r:id="rId36" display="https://www.sec.gov/Archives/edgar/data/1318605/000156459019018876/tsla-ex991_15.htm" xr:uid="{3CE0C43D-E032-4376-8041-0F41EB7A5FA7}"/>
    <hyperlink ref="AM2" r:id="rId37" display="https://www.sec.gov/Archives/edgar/data/1318605/000156459019024414/tsla-ex991_14.htm" xr:uid="{41A57BA2-3D0A-40BE-BF2C-51F448088F11}"/>
    <hyperlink ref="AN2" r:id="rId38" display="https://www.sec.gov/Archives/edgar/data/1318605/000156459019037581/tsla-ex991_154.htm" xr:uid="{5810613F-8C6B-4550-8A77-7C66449444E6}"/>
    <hyperlink ref="AO2" r:id="rId39" display="https://www.sec.gov/Archives/edgar/data/1318605/000156459020011823/tsla-ex991_6.htm" xr:uid="{968D995E-77FF-4A89-9DCC-117ABB04645E}"/>
    <hyperlink ref="AP2" r:id="rId40" display="https://www.sec.gov/Archives/edgar/data/1318605/000156459020019776/tsla-ex9901_96.htm" xr:uid="{43DC971D-BB0D-4D36-8D14-218C21EA4AB3}"/>
    <hyperlink ref="AQ2" r:id="rId41" display="https://www.sec.gov/Archives/edgar/data/1318605/000156459020039353/tsla-ex991_6.htm" xr:uid="{E1CE408B-188A-476B-814A-B78D7C801B85}"/>
    <hyperlink ref="AR2" r:id="rId42" display="https://www.sec.gov/Archives/edgar/data/1318605/000156459020047108/tsla-ex991_57.htm" xr:uid="{81DB72A0-F3CD-4F2B-BFF0-5DE472A89C47}"/>
    <hyperlink ref="AS2" r:id="rId43" display="https://www.sec.gov/Archives/edgar/data/1318605/000156459021002645/tsla-ex991_99.htm" xr:uid="{90CE3250-A485-4E04-93EF-88C504B52B3C}"/>
    <hyperlink ref="AT2" r:id="rId44" display="https://www.sec.gov/Archives/edgar/data/1318605/000156459021020558/tsla-ex99_136.htm" xr:uid="{826CEE11-778E-40B2-A66B-CF258933D22D}"/>
    <hyperlink ref="AU2" r:id="rId45" display="https://www.sec.gov/Archives/edgar/data/1318605/000156459021037953/tsla-ex991_89.htm" xr:uid="{4B76C893-24CF-4A61-B383-1F61F3388043}"/>
    <hyperlink ref="AV2" r:id="rId46" display="https://www.sec.gov/Archives/edgar/data/1318605/000156459021051307/tsla-ex991_85.htm" xr:uid="{E25150C3-CCF1-46D0-A793-452760068057}"/>
    <hyperlink ref="AW2" r:id="rId47" display="https://www.sec.gov/Archives/edgar/data/1318605/000156459022002476/tsla-ex991_209.htm" xr:uid="{C546B72D-BC49-41F4-85CB-9C217C76A368}"/>
    <hyperlink ref="AX2" r:id="rId48" display="https://www.sec.gov/Archives/edgar/data/1318605/000156459022014917/tsla-ex991_151.htm" xr:uid="{0519E93E-E19B-49DC-8371-A65E7AC2D3BC}"/>
    <hyperlink ref="AY2" r:id="rId49" display="https://www.sec.gov/Archives/edgar/data/1318605/000156459022028207/tsla-ex991_6.htm" xr:uid="{0FD0CEEF-5A15-4BBD-9919-746900A358B2}"/>
    <hyperlink ref="AZ2" r:id="rId50" display="https://www.sec.gov/Archives/edgar/data/1318605/000156459022034639/tsla-ex991_89.htm" xr:uid="{330AB0CD-A970-4477-BE28-B11C6DBC7106}"/>
    <hyperlink ref="BA2" r:id="rId51" display="https://www.sec.gov/Archives/edgar/data/1318605/000156459023000799/tsla-ex991_127.htm" xr:uid="{2A9C5848-F41F-487A-B74D-D843C3DAC152}"/>
    <hyperlink ref="BB2" r:id="rId52" display="https://www.sec.gov/Archives/edgar/data/1318605/000156459023005959/tsla-ex991_99.htm" xr:uid="{3571D6EB-865E-4866-80FF-D95CFE46AF16}"/>
    <hyperlink ref="BC2" r:id="rId53" display="https://www.sec.gov/Archives/edgar/data/1318605/000095017023033544/tsla-ex99_1.htm" xr:uid="{5080C843-D799-4928-A74F-BF7E42FCDE6C}"/>
    <hyperlink ref="BD2" r:id="rId54" display="https://www.sec.gov/Archives/edgar/data/1318605/000162828023034588/exhibit991.htm" xr:uid="{E59CEE97-8136-4614-A22D-DBA38C3A3F6E}"/>
    <hyperlink ref="BE2" r:id="rId55" display="https://www.sec.gov/Archives/edgar/data/1318605/000162828024002390/tsla-20231231.htm" xr:uid="{87E6EC53-9F09-490C-A754-C161EF2ACB6D}"/>
    <hyperlink ref="BF2" r:id="rId56" display="https://www.sec.gov/Archives/edgar/data/1318605/000095017024046895/tsla-ex99_1.htm" xr:uid="{57D07A10-A40A-4F0A-9D0B-BE8D93CD4B32}"/>
    <hyperlink ref="BG2" r:id="rId57" display="https://www.sec.gov/Archives/edgar/data/1318605/000162828024032603/exhibit.htm" xr:uid="{C0727593-BE88-4604-8311-E83001C05504}"/>
    <hyperlink ref="BH2" r:id="rId58" display="https://www.sec.gov/Archives/edgar/data/1318605/000162828025002993/exhibit991.htm" xr:uid="{7754A227-8160-45ED-B48C-73A39A12C420}"/>
    <hyperlink ref="BI2" r:id="rId59" display="https://www.sec.gov/Archives/edgar/data/1318605/000162828025002993/exhibit991.htm" xr:uid="{E4840CA7-4D18-4919-B4EA-25A75D987461}"/>
    <hyperlink ref="BJ2" r:id="rId60" display="https://www.sec.gov/Archives/edgar/data/1318605/000162828025018851/exhbit991.htm" xr:uid="{04A40E29-FEE6-4C7B-8CCD-960D66250142}"/>
    <hyperlink ref="BK2" r:id="rId61" display="https://www.sec.gov/Archives/edgar/data/1318605/000162828025035738/exhibit991.htm" xr:uid="{5A246B5A-6F26-4D4E-BC96-89888453775F}"/>
    <hyperlink ref="BL2" r:id="rId62" display="https://www.sec.gov/Archives/edgar/data/1318605/000162828025045861/exhibit991.htm" xr:uid="{79B6E4DD-7455-4EC1-BCF9-B7E9CA80452F}"/>
    <hyperlink ref="BM2" r:id="rId63" display="https://www.sec.gov/Archives/edgar/data/1318605/000162828026000016/exhibit9914.htm" xr:uid="{D5460E44-574E-4573-85D3-592DE209CB2E}"/>
    <hyperlink ref="BN2" r:id="rId64" display="https://www.sec.gov/Archives/edgar/data/1318605/000162828026022956/exhibit9911111.htm" xr:uid="{867EC697-FD99-427F-AD6E-A26B7C2EB105}"/>
    <hyperlink ref="BO2" r:id="rId65" display="https://www.sec.gov/Archives/edgar/data/1318605/000162828026046717/exhibit99111111.htm" xr:uid="{7EB23F8D-E5FF-4BB9-A1F2-DD9AAEBBE8CF}"/>
    <hyperlink ref="C1" r:id="rId66" display="https://www.sec.gov/Archives/edgar/data/1318605/000119312510188792/d10q.htm" xr:uid="{C37FF7F6-DC06-4BF4-8339-D16C945BE566}"/>
    <hyperlink ref="D1" r:id="rId67" display="https://www.sec.gov/Archives/edgar/data/1318605/000119312510259068/d10q.htm" xr:uid="{D6BA29A2-86B2-42FA-86ED-6AC8568032CA}"/>
    <hyperlink ref="E1" r:id="rId68" display="https://www.sec.gov/Archives/edgar/data/1318605/000119312511054847/d10k.htm" xr:uid="{D9F3EB19-29E6-4BA8-9734-F286AF488390}"/>
    <hyperlink ref="F1" r:id="rId69" display="https://www.sec.gov/Archives/edgar/data/1318605/000119312511139677/d10q.htm" xr:uid="{1065D40C-C974-4E0A-B79C-BEA4DD1E0F68}"/>
    <hyperlink ref="G1" r:id="rId70" display="https://www.sec.gov/Archives/edgar/data/1318605/000119312511221497/d10q.htm" xr:uid="{6748B4EB-B470-4429-BC4D-4A04C3889BB0}"/>
    <hyperlink ref="H1" r:id="rId71" display="https://www.sec.gov/Archives/edgar/data/1318605/000119312511308489/d226201d10q.htm" xr:uid="{31C76DA4-7ABF-4C0A-9648-B3260BFF3BEA}"/>
    <hyperlink ref="I1" r:id="rId72" display="https://www.sec.gov/Archives/edgar/data/1318605/000119312512081990/d279413d10k.htm" xr:uid="{A27A25C2-82F8-464E-AB8B-C376F659A41E}"/>
    <hyperlink ref="J1" r:id="rId73" display="https://www.sec.gov/Archives/edgar/data/1318605/000119312512225825/d325967d10q.htm" xr:uid="{043D89D5-5DE0-4A3C-83B8-73745E07F96A}"/>
    <hyperlink ref="K1" r:id="rId74" display="https://www.sec.gov/Archives/edgar/data/1318605/000119312512332138/d364775d10q.htm" xr:uid="{B77CAC36-0CF5-4A77-A2BF-DB3FF4D07824}"/>
    <hyperlink ref="L1" r:id="rId75" display="https://www.sec.gov/Archives/edgar/data/1318605/000119312512457610/d410318d10q.htm" xr:uid="{7E527949-E26D-47CA-A8BC-CEFE42D1F1A0}"/>
    <hyperlink ref="M1" r:id="rId76" display="https://www.sec.gov/Archives/edgar/data/1318605/000119312513096241/d452995d10k.htm" xr:uid="{3CACE7CF-38F1-495F-80D3-EAFBA275E945}"/>
    <hyperlink ref="N1" r:id="rId77" display="https://www.sec.gov/Archives/edgar/data/1318605/000119312513212354/d511008d10q.htm" xr:uid="{DE1732E9-2E08-44B0-AD1D-366236D37C1F}"/>
    <hyperlink ref="O1" r:id="rId78" display="https://www.sec.gov/Archives/edgar/data/1318605/000119312513327916/d549636d10q.htm" xr:uid="{B201FF2C-9AC9-43FB-A64E-CAC809EBEE40}"/>
    <hyperlink ref="P1" r:id="rId79" display="https://www.sec.gov/Archives/edgar/data/1318605/000119312513435480/d588506d10q.htm" xr:uid="{998FD970-4FC3-4F10-BFC4-EEC65B75FCE6}"/>
    <hyperlink ref="Q1" r:id="rId80" display="https://www.sec.gov/Archives/edgar/data/1318605/000119312514069681/d668062d10k.htm" xr:uid="{C2468465-647D-4C2E-9AEA-0FAF5D9183B7}"/>
    <hyperlink ref="R1" r:id="rId81" display="https://www.sec.gov/Archives/edgar/data/1318605/000119312514192606/d715897d10q.htm" xr:uid="{053B05AB-0060-4955-BB40-58ED0EFFCE53}"/>
    <hyperlink ref="S1" r:id="rId82" display="https://www.sec.gov/Archives/edgar/data/1318605/000119312514303175/d766922d10q.htm" xr:uid="{EADD4861-A298-4ADB-AF81-93A81D95FDFC}"/>
    <hyperlink ref="T1" r:id="rId83" display="https://www.sec.gov/Archives/edgar/data/1318605/000119312514403635/d812482d10q.htm" xr:uid="{6F56251F-F778-4CE2-9E68-4A02FC584708}"/>
    <hyperlink ref="U1" r:id="rId84" display="https://www.sec.gov/Archives/edgar/data/1318605/000156459015001031/tsla-10k_20141231.htm" xr:uid="{C7D8C8EA-A1A3-4C81-8EC7-194B897A510F}"/>
    <hyperlink ref="V1" r:id="rId85" display="https://www.sec.gov/Archives/edgar/data/1318605/000156459015003789/tsla-10q_20150331.htm" xr:uid="{AF91A03E-F810-401F-BECB-0DAA561A138C}"/>
    <hyperlink ref="W1" r:id="rId86" display="https://www.sec.gov/Archives/edgar/data/1318605/000156459015006666/tsla-10q_20150630.htm" xr:uid="{1D64F266-9A9E-482B-9EC8-E42E5B18CC98}"/>
    <hyperlink ref="X1" r:id="rId87" display="https://www.sec.gov/Archives/edgar/data/1318605/000156459015009741/tsla-10q_20150930.htm" xr:uid="{A7852F4C-FAD4-4639-B7AF-42FB5109597D}"/>
    <hyperlink ref="Y1" r:id="rId88" display="https://www.sec.gov/Archives/edgar/data/1318605/000156459016013195/tsla-10k_20151231.htm" xr:uid="{B3E9B1E8-FFB5-47F6-AF8C-8E4D3E3DDB82}"/>
    <hyperlink ref="Z1" r:id="rId89" display="https://www.sec.gov/Archives/edgar/data/1318605/000156459016018886/tsla-10q_20160331.htm" xr:uid="{0FE92F43-6935-4AD6-AD63-4FE06F79328B}"/>
    <hyperlink ref="AA1" r:id="rId90" display="https://www.sec.gov/Archives/edgar/data/1318605/000156459016023024/tsla-10q_20160630.htm" xr:uid="{190A3802-D205-4A25-8F78-74455961E466}"/>
    <hyperlink ref="AB1" r:id="rId91" display="https://www.sec.gov/Archives/edgar/data/1318605/000156459016026820/tsla-10q_20160930.htm" xr:uid="{4183B870-FF12-4F84-8B63-059FDD21C270}"/>
    <hyperlink ref="AC1" r:id="rId92" display="https://www.sec.gov/Archives/edgar/data/1318605/000156459017003118/tsla-10k_20161231.htm" xr:uid="{BDB5A99A-FF38-4445-8EF1-9DAE81B56490}"/>
    <hyperlink ref="AD1" r:id="rId93" display="https://www.sec.gov/Archives/edgar/data/1318605/000156459017009968/tsla-10q_20170331.htm" xr:uid="{D716AB80-D634-4F08-9667-63B7BF70AD66}"/>
    <hyperlink ref="AE1" r:id="rId94" display="https://www.sec.gov/Archives/edgar/data/1318605/000156459017015705/tsla-10q_20170630.htm" xr:uid="{9054AE92-A438-4359-BC0C-EFD62A80EF7B}"/>
    <hyperlink ref="AF1" r:id="rId95" display="https://www.sec.gov/Archives/edgar/data/1318605/000156459017021343/tsla-10q_20170930.htm" xr:uid="{B1466D89-217F-4F03-9075-3AEF777FBA75}"/>
    <hyperlink ref="AG1" r:id="rId96" display="https://www.sec.gov/Archives/edgar/data/1318605/000156459018002956/tsla-10k_20171231.htm" xr:uid="{C4BF15A3-395C-4652-8B98-D3FC5801414C}"/>
    <hyperlink ref="AH1" r:id="rId97" display="https://www.sec.gov/Archives/edgar/data/1318605/000156459018011086/tsla-10q_20180331.htm" xr:uid="{6BFE511E-3698-4E51-8A2E-56EB0E4E375D}"/>
    <hyperlink ref="AI1" r:id="rId98" display="https://www.sec.gov/Archives/edgar/data/1318605/000156459018019254/tsla-10q_20180630.htm" xr:uid="{DBC74BF5-D245-4BB9-BBF3-E5EBCC2ADF5B}"/>
    <hyperlink ref="AJ1" r:id="rId99" display="https://www.sec.gov/Archives/edgar/data/1318605/000156459018026353/tsla-10q_20180930.htm" xr:uid="{B530955D-5B2D-4B0C-834C-549CFBEE57D0}"/>
    <hyperlink ref="AK1" r:id="rId100" display="https://www.sec.gov/Archives/edgar/data/1318605/000156459019003165/tsla-10k_20181231.htm" xr:uid="{C8F953FF-914F-43E0-9424-35156E92846E}"/>
    <hyperlink ref="AL1" r:id="rId101" display="https://www.sec.gov/Archives/edgar/data/1318605/000156459019013462/tsla-10q_20190331.htm" xr:uid="{5C90B9C3-8E80-4278-9787-6541BF459848}"/>
    <hyperlink ref="AM1" r:id="rId102" display="https://www.sec.gov/Archives/edgar/data/1318605/000156459019026445/tsla-10q_20190630.htm" xr:uid="{485A2BF2-9CFE-4D32-88D7-5AAF6D0AA795}"/>
    <hyperlink ref="AN1" r:id="rId103" display="https://www.sec.gov/Archives/edgar/data/1318605/000156459019038256/tsla-10q_20190930.htm" xr:uid="{773F6C9D-1FF3-4359-91CF-6954BF880826}"/>
    <hyperlink ref="AO1" r:id="rId104" display="https://www.sec.gov/Archives/edgar/data/1318605/000156459020004475/tsla-10k_20191231.htm" xr:uid="{5D71E6DD-7166-4204-9EE7-10B65CAE1770}"/>
    <hyperlink ref="AP1" r:id="rId105" display="https://www.sec.gov/Archives/edgar/data/1318605/000156459020019931/tsla-10q_20200331.htm" xr:uid="{EEB0BFDA-65B1-4648-B6BB-064712E5CEA0}"/>
    <hyperlink ref="AQ1" r:id="rId106" display="https://www.sec.gov/Archives/edgar/data/1318605/000156459020033670/tsla-10q_20200630.htm" xr:uid="{972452CA-D308-45A8-9EDC-5DEA9E203A3E}"/>
    <hyperlink ref="AR1" r:id="rId107" display="https://www.sec.gov/Archives/edgar/data/1318605/000156459020047486/tsla-10q_20200930.htm" xr:uid="{3D59AD64-179E-4EEB-BA31-E6E036602F0D}"/>
    <hyperlink ref="AS1" r:id="rId108" display="https://www.sec.gov/Archives/edgar/data/1318605/000156459021004599/tsla-10k_20201231.htm" xr:uid="{76B72A3D-536E-47AC-BBF9-E348E5B0C15C}"/>
    <hyperlink ref="AT1" r:id="rId109" display="https://www.sec.gov/Archives/edgar/data/1318605/000095017021000046/tsla-20210331.htm" xr:uid="{9752ABC4-872A-4355-9199-EEF2EEC216B3}"/>
    <hyperlink ref="AU1" r:id="rId110" display="https://www.sec.gov/Archives/edgar/data/1318605/000095017021000524/tsla-20210630.htm" xr:uid="{BD4EDA26-90F9-4BED-9BCC-5672468A61BC}"/>
    <hyperlink ref="AV1" r:id="rId111" display="https://www.sec.gov/Archives/edgar/data/1318605/000095017021002253/tsla-20210930.htm" xr:uid="{13226733-FC56-43F5-9F96-DBF6351D68EA}"/>
    <hyperlink ref="AW1" r:id="rId112" display="https://www.sec.gov/Archives/edgar/data/1318605/000095017022000796/tsla-20211231.htm" xr:uid="{3961BCF4-5857-4B98-B75D-EC1A397CB7EC}"/>
    <hyperlink ref="AX1" r:id="rId113" display="https://www.sec.gov/Archives/edgar/data/1318605/000095017022006034/tsla-20220331.htm" xr:uid="{2603005F-03FE-481C-A048-D4EB34A387E4}"/>
    <hyperlink ref="AY1" r:id="rId114" display="https://www.sec.gov/Archives/edgar/data/1318605/000095017022012936/tsla-20220630.htm" xr:uid="{7AF28E03-5B02-4858-B4F4-3261F612858A}"/>
    <hyperlink ref="AZ1" r:id="rId115" display="https://www.sec.gov/Archives/edgar/data/1318605/000095017022019867/tsla-20220930.htm" xr:uid="{38CD72A6-520E-4C07-8D04-E970D827B1BC}"/>
    <hyperlink ref="BA1" r:id="rId116" display="https://www.sec.gov/Archives/edgar/data/1318605/000095017023001409/tsla-20221231.htm" xr:uid="{E5FF5610-5BE1-4BB6-8713-F0002D84F9D0}"/>
    <hyperlink ref="BB1" r:id="rId117" display="https://www.sec.gov/Archives/edgar/data/1318605/000095017023013890/tsla-20230331.htm" xr:uid="{C4E173EB-5F50-4D60-999E-9414603DAE90}"/>
    <hyperlink ref="BC1" r:id="rId118" display="https://www.sec.gov/Archives/edgar/data/1318605/000095017023033872/tsla-20230630.htm" xr:uid="{735C82F7-7763-4AA1-ABA5-6673443F85CF}"/>
    <hyperlink ref="BD1" r:id="rId119" display="https://www.sec.gov/Archives/edgar/data/1318605/000162828023034847/tsla-20230930.htm" xr:uid="{D4389C95-DCCD-4B66-BBCD-E98548744B98}"/>
    <hyperlink ref="BE1" r:id="rId120" display="https://www.sec.gov/Archives/edgar/data/1318605/000162828024002390/tsla-20231231.htm" xr:uid="{1EDA8EB8-6918-47FA-BE09-987E389CB5D5}"/>
    <hyperlink ref="BF1" r:id="rId121" display="https://www.sec.gov/Archives/edgar/data/1318605/000162828024017503/tsla-20240331.htm" xr:uid="{F72A76A1-5C5E-40E2-817D-FEEF38C6CFEE}"/>
    <hyperlink ref="BG1" r:id="rId122" display="https://www.sec.gov/Archives/edgar/data/1318605/000162828024032662/tsla-20240630.htm" xr:uid="{B462D06F-DDF8-4419-ABB8-CD682378B597}"/>
    <hyperlink ref="BH1" r:id="rId123" display="https://www.sec.gov/Archives/edgar/data/1318605/000162828024043486/tsla-20240930.htm" xr:uid="{B945E329-E1D4-467E-A741-27F02AF4B1C9}"/>
    <hyperlink ref="BI1" r:id="rId124" display="https://www.sec.gov/Archives/edgar/data/1318605/000162828025003063/tsla-20241231.htm" xr:uid="{DA8B97B2-26BB-4C34-A762-7A905960B904}"/>
    <hyperlink ref="BJ1" r:id="rId125" display="https://www.sec.gov/Archives/edgar/data/1318605/000162828025018911/tsla-20250331.htm" xr:uid="{132CA946-F361-4006-8B28-A16FCD5EEBB1}"/>
    <hyperlink ref="BK1" r:id="rId126" display="https://www.sec.gov/Archives/edgar/data/1318605/000162828025035806/tsla-20250630.htm" xr:uid="{53B339CE-9B8A-4C39-8559-0C1469C5A875}"/>
    <hyperlink ref="BL1" r:id="rId127" display="https://www.sec.gov/Archives/edgar/data/1318605/000162828025045968/tsla-20250930.htm" xr:uid="{6381C7A2-F6FE-457D-B5A3-BBF9BA50F1A9}"/>
    <hyperlink ref="BM1" r:id="rId128" display="https://www.sec.gov/Archives/edgar/data/1318605/000162828026003952/tsla-20251231.htm" xr:uid="{516B7952-A424-4AB3-A60C-6EA10321825A}"/>
    <hyperlink ref="BN1" r:id="rId129" display="https://www.sec.gov/Archives/edgar/data/1318605/000162828026026673/tsla-20260331.htm" xr:uid="{C3090D6F-B7CA-42A3-AE7B-676407925FD0}"/>
    <hyperlink ref="BO1" r:id="rId130" display="https://www.sec.gov/Archives/edgar/data/1318605/000162828026049270/tsla-20260630.htm" xr:uid="{32CF75E3-719C-4021-912C-7090285E0549}"/>
  </hyperlinks>
  <pageMargins left="0.7" right="0.7" top="0.75" bottom="0.75" header="0.3" footer="0.3"/>
  <drawing r:id="rId131"/>
  <legacyDrawing r:id="rId13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Main</vt:lpstr>
      <vt:lpstr>Questions</vt:lpstr>
      <vt:lpstr>Model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Dillon Walton</dc:creator>
  <cp:lastModifiedBy>Dillon Walton</cp:lastModifiedBy>
  <dcterms:created xsi:type="dcterms:W3CDTF">2026-08-29T01:21:44Z</dcterms:created>
  <dcterms:modified xsi:type="dcterms:W3CDTF">2026-09-24T02:15:28Z</dcterms:modified>
</cp:coreProperties>
</file>