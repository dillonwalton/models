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models\"/>
    </mc:Choice>
  </mc:AlternateContent>
  <xr:revisionPtr revIDLastSave="0" documentId="13_ncr:1_{B3690358-D56D-4B2F-BD7C-7452CE9AE711}" xr6:coauthVersionLast="47" xr6:coauthVersionMax="47" xr10:uidLastSave="{00000000-0000-0000-0000-000000000000}"/>
  <bookViews>
    <workbookView xWindow="38280" yWindow="-120" windowWidth="38640" windowHeight="21120" activeTab="1" xr2:uid="{A9783F60-192C-EF49-B653-EB874A40C134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3" i="2" l="1"/>
  <c r="C37" i="2"/>
  <c r="C62" i="2"/>
  <c r="AX51" i="2"/>
  <c r="AX50" i="2"/>
  <c r="AX49" i="2"/>
  <c r="AX48" i="2"/>
  <c r="AX46" i="2"/>
  <c r="AX45" i="2"/>
  <c r="AX44" i="2"/>
  <c r="AX42" i="2"/>
  <c r="AX41" i="2"/>
  <c r="AX40" i="2"/>
  <c r="AX39" i="2"/>
  <c r="AA53" i="2"/>
  <c r="AB53" i="2"/>
  <c r="AC53" i="2"/>
  <c r="AD53" i="2"/>
  <c r="AE53" i="2"/>
  <c r="AF53" i="2"/>
  <c r="AG53" i="2"/>
  <c r="AH53" i="2"/>
  <c r="AI53" i="2"/>
  <c r="AA54" i="2"/>
  <c r="AB54" i="2"/>
  <c r="AC54" i="2"/>
  <c r="AD54" i="2"/>
  <c r="AE54" i="2"/>
  <c r="AF54" i="2"/>
  <c r="AG54" i="2"/>
  <c r="AH54" i="2"/>
  <c r="AI54" i="2"/>
  <c r="AA55" i="2"/>
  <c r="AB55" i="2"/>
  <c r="AC55" i="2"/>
  <c r="AD55" i="2"/>
  <c r="AE55" i="2"/>
  <c r="AF55" i="2"/>
  <c r="AG55" i="2"/>
  <c r="AH55" i="2"/>
  <c r="AI55" i="2"/>
  <c r="AA56" i="2"/>
  <c r="AB56" i="2"/>
  <c r="AC56" i="2"/>
  <c r="AD56" i="2"/>
  <c r="AE56" i="2"/>
  <c r="AF56" i="2"/>
  <c r="AG56" i="2"/>
  <c r="AH56" i="2"/>
  <c r="AI56" i="2"/>
  <c r="Z54" i="2"/>
  <c r="Z55" i="2"/>
  <c r="Z56" i="2"/>
  <c r="Z53" i="2"/>
  <c r="AY34" i="2"/>
  <c r="AY35" i="2"/>
  <c r="AY36" i="2"/>
  <c r="AY33" i="2"/>
  <c r="AX34" i="2"/>
  <c r="AX35" i="2"/>
  <c r="AX36" i="2"/>
  <c r="AX33" i="2"/>
  <c r="AB37" i="2"/>
  <c r="AB43" i="2" s="1"/>
  <c r="AC37" i="2"/>
  <c r="AC43" i="2" s="1"/>
  <c r="AC47" i="2" s="1"/>
  <c r="AC59" i="2" s="1"/>
  <c r="Z37" i="2"/>
  <c r="Z43" i="2" s="1"/>
  <c r="Z47" i="2" s="1"/>
  <c r="Z59" i="2" s="1"/>
  <c r="AA37" i="2"/>
  <c r="AA43" i="2" s="1"/>
  <c r="AF37" i="2"/>
  <c r="AF43" i="2" s="1"/>
  <c r="AD37" i="2"/>
  <c r="AD43" i="2" s="1"/>
  <c r="AG37" i="2"/>
  <c r="AG43" i="2" s="1"/>
  <c r="AE37" i="2"/>
  <c r="AE28" i="2" s="1"/>
  <c r="AX53" i="2" l="1"/>
  <c r="AX43" i="2"/>
  <c r="AA31" i="2"/>
  <c r="AF30" i="2"/>
  <c r="AB30" i="2"/>
  <c r="Z29" i="2"/>
  <c r="AA30" i="2"/>
  <c r="Z28" i="2"/>
  <c r="AA29" i="2"/>
  <c r="AF29" i="2"/>
  <c r="Z31" i="2"/>
  <c r="AG28" i="2"/>
  <c r="AG29" i="2"/>
  <c r="Z30" i="2"/>
  <c r="AF28" i="2"/>
  <c r="AC31" i="2"/>
  <c r="AD28" i="2"/>
  <c r="AF31" i="2"/>
  <c r="AE30" i="2"/>
  <c r="AD29" i="2"/>
  <c r="AC28" i="2"/>
  <c r="AB31" i="2"/>
  <c r="AG31" i="2"/>
  <c r="AE29" i="2"/>
  <c r="AE31" i="2"/>
  <c r="AD30" i="2"/>
  <c r="AC29" i="2"/>
  <c r="AB28" i="2"/>
  <c r="AG30" i="2"/>
  <c r="AD31" i="2"/>
  <c r="AC30" i="2"/>
  <c r="AB29" i="2"/>
  <c r="AA28" i="2"/>
  <c r="AB47" i="2"/>
  <c r="AB59" i="2" s="1"/>
  <c r="AB58" i="2"/>
  <c r="AX37" i="2"/>
  <c r="Z58" i="2"/>
  <c r="AC58" i="2"/>
  <c r="AY37" i="2"/>
  <c r="AA47" i="2"/>
  <c r="AA59" i="2" s="1"/>
  <c r="AA58" i="2"/>
  <c r="AG47" i="2"/>
  <c r="AG59" i="2" s="1"/>
  <c r="AG58" i="2"/>
  <c r="AD58" i="2"/>
  <c r="AD47" i="2"/>
  <c r="AD59" i="2" s="1"/>
  <c r="AF47" i="2"/>
  <c r="AF59" i="2" s="1"/>
  <c r="AF58" i="2"/>
  <c r="AH44" i="2"/>
  <c r="AH37" i="2"/>
  <c r="AI37" i="2"/>
  <c r="K7" i="1"/>
  <c r="K6" i="1"/>
  <c r="K5" i="1"/>
  <c r="K8" i="1" l="1"/>
  <c r="AX47" i="2"/>
  <c r="AI30" i="2"/>
  <c r="AI29" i="2"/>
  <c r="AI31" i="2"/>
  <c r="AI28" i="2"/>
  <c r="AH30" i="2"/>
  <c r="AH31" i="2"/>
  <c r="AH28" i="2"/>
  <c r="AH29" i="2"/>
  <c r="AE43" i="2"/>
  <c r="AH43" i="2"/>
  <c r="AI43" i="2"/>
  <c r="AI47" i="2" l="1"/>
  <c r="AI59" i="2" s="1"/>
  <c r="AI58" i="2"/>
  <c r="AH58" i="2"/>
  <c r="AH47" i="2"/>
  <c r="AH59" i="2" s="1"/>
  <c r="AE58" i="2"/>
  <c r="AE47" i="2"/>
  <c r="AE5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VAE Ventures</author>
  </authors>
  <commentList>
    <comment ref="D3" authorId="0" shapeId="0" xr:uid="{ADE44D27-8ED5-8546-9775-6A086F0F5ABA}">
      <text>
        <r>
          <rPr>
            <b/>
            <sz val="10"/>
            <color rgb="FF000000"/>
            <rFont val="Tahoma"/>
            <family val="2"/>
          </rPr>
          <t>VAE Ventures: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High temperature solid oxide fuel cell (fuel -&gt; electriicity)</t>
        </r>
      </text>
    </comment>
    <comment ref="K6" authorId="0" shapeId="0" xr:uid="{B5D4356B-75F9-B34D-8DB5-2815F3145C0D}">
      <text>
        <r>
          <rPr>
            <b/>
            <sz val="10"/>
            <color rgb="FF000000"/>
            <rFont val="Tahoma"/>
            <family val="2"/>
          </rPr>
          <t>VAE Ventures: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Investments in unconsolidated affiliates...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Dillon Walton</author>
    <author>VAE Ventures</author>
  </authors>
  <commentList>
    <comment ref="B8" authorId="0" shapeId="0" xr:uid="{5F610A5F-D63B-214C-A148-F86F272D8AFC}">
      <text>
        <r>
          <rPr>
            <b/>
            <sz val="10"/>
            <color rgb="FF000000"/>
            <rFont val="Tahoma"/>
            <family val="2"/>
          </rPr>
          <t>Dillon Walton: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Out of backlog -&gt; into production, producing for 24 hrs</t>
        </r>
      </text>
    </comment>
    <comment ref="B18" authorId="1" shapeId="0" xr:uid="{A9D2441D-108E-2747-91C5-0397C0B969E2}">
      <text>
        <r>
          <rPr>
            <b/>
            <sz val="10"/>
            <color rgb="FF000000"/>
            <rFont val="Tahoma"/>
            <family val="2"/>
          </rPr>
          <t>VAE Ventures: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Began operations in 2018</t>
        </r>
      </text>
    </comment>
  </commentList>
</comments>
</file>

<file path=xl/sharedStrings.xml><?xml version="1.0" encoding="utf-8"?>
<sst xmlns="http://schemas.openxmlformats.org/spreadsheetml/2006/main" count="200" uniqueCount="125">
  <si>
    <t>Price</t>
  </si>
  <si>
    <t>S / O</t>
  </si>
  <si>
    <t>Mkt Cap</t>
  </si>
  <si>
    <t>Cash</t>
  </si>
  <si>
    <t>Debt</t>
  </si>
  <si>
    <t>EV</t>
  </si>
  <si>
    <t>Revenue</t>
  </si>
  <si>
    <t>Q124</t>
  </si>
  <si>
    <t>Q224</t>
  </si>
  <si>
    <t>Q324</t>
  </si>
  <si>
    <t>Q125</t>
  </si>
  <si>
    <t>Q225</t>
  </si>
  <si>
    <t>Q325</t>
  </si>
  <si>
    <t>Q425</t>
  </si>
  <si>
    <t>Q126</t>
  </si>
  <si>
    <t>Q226</t>
  </si>
  <si>
    <t>Q326</t>
  </si>
  <si>
    <t>Q426</t>
  </si>
  <si>
    <t>Q127</t>
  </si>
  <si>
    <t>Q227</t>
  </si>
  <si>
    <t>Q327</t>
  </si>
  <si>
    <t>Q427</t>
  </si>
  <si>
    <t>Gross Profit</t>
  </si>
  <si>
    <t>Gross Margin</t>
  </si>
  <si>
    <t>Operating Income</t>
  </si>
  <si>
    <t>Operating Margin</t>
  </si>
  <si>
    <t>Product</t>
  </si>
  <si>
    <t>Installation</t>
  </si>
  <si>
    <t>Service</t>
  </si>
  <si>
    <t>Electricity</t>
  </si>
  <si>
    <t>R&amp;D</t>
  </si>
  <si>
    <t>S&amp;M</t>
  </si>
  <si>
    <t>G&amp;A</t>
  </si>
  <si>
    <t>Tax</t>
  </si>
  <si>
    <t>EBT</t>
  </si>
  <si>
    <t>Net Profit</t>
  </si>
  <si>
    <t>Other income (loss)</t>
  </si>
  <si>
    <t>Q424</t>
  </si>
  <si>
    <t>Bloom Energy Server Fuel cell system</t>
  </si>
  <si>
    <t>Generation</t>
  </si>
  <si>
    <t>Bloom Electrolyzer</t>
  </si>
  <si>
    <t>Producing hydrogen</t>
  </si>
  <si>
    <t>Headcount</t>
  </si>
  <si>
    <t>Energy Server Systems Deployed</t>
  </si>
  <si>
    <t>Countries</t>
  </si>
  <si>
    <t>Product margin</t>
  </si>
  <si>
    <t>Installation margin</t>
  </si>
  <si>
    <t>Service margin</t>
  </si>
  <si>
    <t>Electricity margin</t>
  </si>
  <si>
    <t>Product % of rev</t>
  </si>
  <si>
    <t>Installation % of rev</t>
  </si>
  <si>
    <t>Service % of rev</t>
  </si>
  <si>
    <t>Electricity % of rev</t>
  </si>
  <si>
    <t>Data Centers</t>
  </si>
  <si>
    <t>C&amp;I</t>
  </si>
  <si>
    <t>Utilities</t>
  </si>
  <si>
    <t>US</t>
  </si>
  <si>
    <t>South korea</t>
  </si>
  <si>
    <t>US headcount</t>
  </si>
  <si>
    <t>International headcount</t>
  </si>
  <si>
    <t>Founded</t>
  </si>
  <si>
    <t>CEO / Founder</t>
  </si>
  <si>
    <t>KR Sridhar</t>
  </si>
  <si>
    <t>First field trial deployed</t>
  </si>
  <si>
    <t>Commercial launch</t>
  </si>
  <si>
    <t>First microgrid online</t>
  </si>
  <si>
    <t>US Manu Expansion</t>
  </si>
  <si>
    <t>Global expansion (Japan)</t>
  </si>
  <si>
    <t>First community microgrid</t>
  </si>
  <si>
    <t>Public</t>
  </si>
  <si>
    <t>Fremont,CA GW Facility</t>
  </si>
  <si>
    <t>AEP 1GW of fuel cells</t>
  </si>
  <si>
    <t>First hyperscaler agreement</t>
  </si>
  <si>
    <t>Q423</t>
  </si>
  <si>
    <t>Q323</t>
  </si>
  <si>
    <t>Q223</t>
  </si>
  <si>
    <t>Q123</t>
  </si>
  <si>
    <t>Q422</t>
  </si>
  <si>
    <t>Q322</t>
  </si>
  <si>
    <t>Q222</t>
  </si>
  <si>
    <t>Q122</t>
  </si>
  <si>
    <t>Q421</t>
  </si>
  <si>
    <t>Q321</t>
  </si>
  <si>
    <t>Q221</t>
  </si>
  <si>
    <t>Q121</t>
  </si>
  <si>
    <t>Q420</t>
  </si>
  <si>
    <t>Q320</t>
  </si>
  <si>
    <t>Q220</t>
  </si>
  <si>
    <t>Q120</t>
  </si>
  <si>
    <t>Q419</t>
  </si>
  <si>
    <t>Q319</t>
  </si>
  <si>
    <t>Q219</t>
  </si>
  <si>
    <t>Q119</t>
  </si>
  <si>
    <t>Q218</t>
  </si>
  <si>
    <t>Q318</t>
  </si>
  <si>
    <t>Q418</t>
  </si>
  <si>
    <t>Japan, India, South Korea</t>
  </si>
  <si>
    <t>Install base (MW)</t>
  </si>
  <si>
    <t>edge computing -&gt; in the end, will it always be edge?</t>
  </si>
  <si>
    <t>Healthcare</t>
  </si>
  <si>
    <t>Data centers</t>
  </si>
  <si>
    <t>Enter SK</t>
  </si>
  <si>
    <t>Scarce land, very high property values</t>
  </si>
  <si>
    <t>Kelly Ayotte</t>
  </si>
  <si>
    <t>Board member</t>
  </si>
  <si>
    <t>John Chambers</t>
  </si>
  <si>
    <t>50kW, 100kW</t>
  </si>
  <si>
    <t>C&amp;I is focus, 1.6T market, 1M manufacturing
Projected rate growth due to weather, DERs for speed, limited space (energy density is key)
Data center / healthcare (demand for 24/7 power)</t>
  </si>
  <si>
    <t>Acceptances</t>
  </si>
  <si>
    <t>Acceptances (MW)</t>
  </si>
  <si>
    <t>Randy Furr</t>
  </si>
  <si>
    <t>CFO</t>
  </si>
  <si>
    <t>Home Depot, AT&amp;T, Intel (25 / F100, 42 / F500)</t>
  </si>
  <si>
    <t>Inventories</t>
  </si>
  <si>
    <t>Prepaid Expense</t>
  </si>
  <si>
    <t>Current</t>
  </si>
  <si>
    <t>PP&amp;E</t>
  </si>
  <si>
    <t>Financing Recievable (ST)</t>
  </si>
  <si>
    <t>Financing Recievable (LT)</t>
  </si>
  <si>
    <t>Restricted cash (LT)</t>
  </si>
  <si>
    <t>AR</t>
  </si>
  <si>
    <t>Deferred COGs (ST)</t>
  </si>
  <si>
    <t>Quarter</t>
  </si>
  <si>
    <t>10-Q</t>
  </si>
  <si>
    <t>10-K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</si>
</sst>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u/>
      <sz val="12"/>
      <color rgb="FF0563C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u/>
      <sz val="12"/>
      <color rgb="FF4F81BD"/>
      <name val="Aptos Narrow"/>
      <family val="2"/>
      <scheme val="minor"/>
    </font>
    <font>
      <u/>
      <sz val="9"/>
      <color rgb="FF59595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3" fontId="0" fillId="0" borderId="0" xfId="0" applyNumberFormat="1"/>
    <xf numFmtId="9" fontId="0" fillId="0" borderId="0" xfId="0" applyNumberFormat="1"/>
    <xf numFmtId="0" fontId="3" fillId="0" borderId="0" xfId="0" applyFont="1"/>
    <xf numFmtId="3" fontId="3" fillId="0" borderId="0" xfId="0" applyNumberFormat="1" applyFont="1"/>
    <xf numFmtId="3" fontId="4" fillId="0" borderId="0" xfId="0" applyNumberFormat="1" applyFont="1"/>
    <xf numFmtId="0" fontId="4" fillId="0" borderId="0" xfId="0" applyFont="1"/>
    <xf numFmtId="0" fontId="0" fillId="0" borderId="0" xfId="0" applyAlignment="1">
      <alignment horizontal="left"/>
    </xf>
    <xf numFmtId="17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6" fillId="0" borderId="0" xfId="1" applyFont="1"/>
    <xf numFmtId="0" fontId="6" fillId="0" borderId="0" xfId="0" applyFont="1"/>
    <xf numFmtId="0" fontId="7" fillId="2" borderId="0" xfId="0" applyFont="1" applyFill="1"/>
    <xf numFmtId="0" fontId="8" fillId="0" borderId="0" xfId="1" applyFont="1"/>
    <xf numFmtId="0" fontId="9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25400</xdr:colOff>
      <xdr:row>0</xdr:row>
      <xdr:rowOff>63500</xdr:rowOff>
    </xdr:from>
    <xdr:to>
      <xdr:col>35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25400</xdr:colOff>
      <xdr:row>0</xdr:row>
      <xdr:rowOff>63500</xdr:rowOff>
    </xdr:from>
    <xdr:to>
      <xdr:col>51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ec.gov/Archives/edgar/data/1664703/000166470322000067/ex991_q22022financialresul.htm" TargetMode="External"/><Relationship Id="rId21" Type="http://schemas.openxmlformats.org/officeDocument/2006/relationships/hyperlink" Target="https://www.sec.gov/Archives/edgar/data/1664703/000166470320000036/ex991bloomenergyq120shar.htm" TargetMode="External"/><Relationship Id="rId42" Type="http://schemas.openxmlformats.org/officeDocument/2006/relationships/hyperlink" Target="https://www.sec.gov/Archives/edgar/data/1664703/000166470320000057/be-20200630.htm" TargetMode="External"/><Relationship Id="rId47" Type="http://schemas.openxmlformats.org/officeDocument/2006/relationships/hyperlink" Target="https://www.sec.gov/Archives/edgar/data/1664703/000166470321000172/be-20210930.htm" TargetMode="External"/><Relationship Id="rId63" Type="http://schemas.openxmlformats.org/officeDocument/2006/relationships/hyperlink" Target="https://www.sec.gov/Archives/edgar/data/1664703/000162828025046844/be-20250930.htm" TargetMode="External"/><Relationship Id="rId68" Type="http://schemas.openxmlformats.org/officeDocument/2006/relationships/vmlDrawing" Target="../drawings/vmlDrawing2.vml"/><Relationship Id="rId7" Type="http://schemas.openxmlformats.org/officeDocument/2006/relationships/hyperlink" Target="https://www.sec.gov/Archives/edgar/data/1664703/000162828024046303/ex991_q32024financialresul.htm" TargetMode="External"/><Relationship Id="rId2" Type="http://schemas.openxmlformats.org/officeDocument/2006/relationships/hyperlink" Target="https://www.sec.gov/Archives/edgar/data/1664703/000162828026005798/ex991_q42025financialresul.htm" TargetMode="External"/><Relationship Id="rId16" Type="http://schemas.openxmlformats.org/officeDocument/2006/relationships/hyperlink" Target="https://www.sec.gov/Archives/edgar/data/1664703/000162828025008626/ex991_q42024financialresul.htm" TargetMode="External"/><Relationship Id="rId29" Type="http://schemas.openxmlformats.org/officeDocument/2006/relationships/hyperlink" Target="https://www.sec.gov/Archives/edgar/data/1664703/000162828023037826/ex991_q32023financialresul.htm" TargetMode="External"/><Relationship Id="rId11" Type="http://schemas.openxmlformats.org/officeDocument/2006/relationships/hyperlink" Target="https://www.sec.gov/Archives/edgar/data/1664703/000162828024046303/ex991_q32024financialresul.htm" TargetMode="External"/><Relationship Id="rId24" Type="http://schemas.openxmlformats.org/officeDocument/2006/relationships/hyperlink" Target="https://www.sec.gov/Archives/edgar/data/1664703/000166470321000130/ex991be2q21financialresults.htm" TargetMode="External"/><Relationship Id="rId32" Type="http://schemas.openxmlformats.org/officeDocument/2006/relationships/hyperlink" Target="https://www.sec.gov/Archives/edgar/data/1664703/000162828024036108/ex991_q22024financialresul.htm" TargetMode="External"/><Relationship Id="rId37" Type="http://schemas.openxmlformats.org/officeDocument/2006/relationships/hyperlink" Target="https://www.sec.gov/Archives/edgar/data/1664703/000166470319000014/a2019q110qbloomenergycorp.htm" TargetMode="External"/><Relationship Id="rId40" Type="http://schemas.openxmlformats.org/officeDocument/2006/relationships/hyperlink" Target="https://www.sec.gov/Archives/edgar/data/1664703/000166470320000013/a2019q410kbloom.htm" TargetMode="External"/><Relationship Id="rId45" Type="http://schemas.openxmlformats.org/officeDocument/2006/relationships/hyperlink" Target="https://www.sec.gov/Archives/edgar/data/1664703/000166470321000046/be-20210331.htm" TargetMode="External"/><Relationship Id="rId53" Type="http://schemas.openxmlformats.org/officeDocument/2006/relationships/hyperlink" Target="https://www.sec.gov/Archives/edgar/data/1664703/000162828023016818/be-20230331.htm" TargetMode="External"/><Relationship Id="rId58" Type="http://schemas.openxmlformats.org/officeDocument/2006/relationships/hyperlink" Target="https://www.sec.gov/Archives/edgar/data/1664703/000162828024036219/be-20240630.htm" TargetMode="External"/><Relationship Id="rId66" Type="http://schemas.openxmlformats.org/officeDocument/2006/relationships/hyperlink" Target="https://www.sec.gov/Archives/edgar/data/1664703/000162828026050247/be-20260630.htm" TargetMode="External"/><Relationship Id="rId5" Type="http://schemas.openxmlformats.org/officeDocument/2006/relationships/hyperlink" Target="https://www.sec.gov/Archives/edgar/data/1664703/000162828025021092/ex991_q12025financialresul.htm" TargetMode="External"/><Relationship Id="rId61" Type="http://schemas.openxmlformats.org/officeDocument/2006/relationships/hyperlink" Target="https://www.sec.gov/Archives/edgar/data/1664703/000162828025021160/be-20250331.htm" TargetMode="External"/><Relationship Id="rId19" Type="http://schemas.openxmlformats.org/officeDocument/2006/relationships/hyperlink" Target="https://www.sec.gov/Archives/edgar/data/1664703/000166470319000010/pressreleasedatedasofmay.htm" TargetMode="External"/><Relationship Id="rId14" Type="http://schemas.openxmlformats.org/officeDocument/2006/relationships/hyperlink" Target="https://www.sec.gov/Archives/edgar/data/1664703/000162828025008626/ex991_q42024financialresul.htm" TargetMode="External"/><Relationship Id="rId22" Type="http://schemas.openxmlformats.org/officeDocument/2006/relationships/hyperlink" Target="https://www.sec.gov/Archives/edgar/data/1664703/000166470320000051/bloompressreleasedated.htm" TargetMode="External"/><Relationship Id="rId27" Type="http://schemas.openxmlformats.org/officeDocument/2006/relationships/hyperlink" Target="https://www.sec.gov/Archives/edgar/data/1664703/000162828023016807/ex991_q12023financialresul.htm" TargetMode="External"/><Relationship Id="rId30" Type="http://schemas.openxmlformats.org/officeDocument/2006/relationships/hyperlink" Target="https://www.sec.gov/Archives/edgar/data/1664703/000162828024005031/ex991_q42023financialresul.htm" TargetMode="External"/><Relationship Id="rId35" Type="http://schemas.openxmlformats.org/officeDocument/2006/relationships/hyperlink" Target="https://www.sec.gov/Archives/edgar/data/1664703/000162828018014294/a2018q310qbloomenergycorp.htm" TargetMode="External"/><Relationship Id="rId43" Type="http://schemas.openxmlformats.org/officeDocument/2006/relationships/hyperlink" Target="https://www.sec.gov/Archives/edgar/data/1664703/000166470320000080/be-20200930.htm" TargetMode="External"/><Relationship Id="rId48" Type="http://schemas.openxmlformats.org/officeDocument/2006/relationships/hyperlink" Target="https://www.sec.gov/Archives/edgar/data/1664703/000166470322000034/be-20211231.htm" TargetMode="External"/><Relationship Id="rId56" Type="http://schemas.openxmlformats.org/officeDocument/2006/relationships/hyperlink" Target="https://www.sec.gov/Archives/edgar/data/1664703/000162828024005035/be-20231231.htm" TargetMode="External"/><Relationship Id="rId64" Type="http://schemas.openxmlformats.org/officeDocument/2006/relationships/hyperlink" Target="https://www.sec.gov/Archives/edgar/data/1664703/000162828026006516/be-20251231.htm" TargetMode="External"/><Relationship Id="rId69" Type="http://schemas.openxmlformats.org/officeDocument/2006/relationships/comments" Target="../comments2.xml"/><Relationship Id="rId8" Type="http://schemas.openxmlformats.org/officeDocument/2006/relationships/hyperlink" Target="https://www.sec.gov/Archives/edgar/data/1664703/000162828025008626/ex991_q42024financialresul.htm" TargetMode="External"/><Relationship Id="rId51" Type="http://schemas.openxmlformats.org/officeDocument/2006/relationships/hyperlink" Target="https://www.sec.gov/Archives/edgar/data/1664703/000162828022028193/be-20220930.htm" TargetMode="External"/><Relationship Id="rId3" Type="http://schemas.openxmlformats.org/officeDocument/2006/relationships/hyperlink" Target="https://www.sec.gov/Archives/edgar/data/1664703/000162828026050150/ex991_q226financialresults.htm" TargetMode="External"/><Relationship Id="rId12" Type="http://schemas.openxmlformats.org/officeDocument/2006/relationships/hyperlink" Target="https://www.sec.gov/Archives/edgar/data/1664703/000162828025008626/ex991_q42024financialresul.htm" TargetMode="External"/><Relationship Id="rId17" Type="http://schemas.openxmlformats.org/officeDocument/2006/relationships/hyperlink" Target="https://www.sec.gov/Archives/edgar/data/1664703/000162828024046303/ex991_q32024financialresul.htm" TargetMode="External"/><Relationship Id="rId25" Type="http://schemas.openxmlformats.org/officeDocument/2006/relationships/hyperlink" Target="https://www.sec.gov/Archives/edgar/data/1664703/000166470322000056/ex991_1q2022financialresul.htm" TargetMode="External"/><Relationship Id="rId33" Type="http://schemas.openxmlformats.org/officeDocument/2006/relationships/hyperlink" Target="https://www.sec.gov/Archives/edgar/data/1664703/000162828025046745/ex991_q32025financialresul.htm" TargetMode="External"/><Relationship Id="rId38" Type="http://schemas.openxmlformats.org/officeDocument/2006/relationships/hyperlink" Target="https://www.sec.gov/Archives/edgar/data/1664703/000166470319000025/a2019_q2x10qxbloomenergyv4.htm" TargetMode="External"/><Relationship Id="rId46" Type="http://schemas.openxmlformats.org/officeDocument/2006/relationships/hyperlink" Target="https://www.sec.gov/Archives/edgar/data/1664703/000166470321000135/be-20210630.htm" TargetMode="External"/><Relationship Id="rId59" Type="http://schemas.openxmlformats.org/officeDocument/2006/relationships/hyperlink" Target="https://www.sec.gov/Archives/edgar/data/1664703/000162828024046411/be-20240930.htm" TargetMode="External"/><Relationship Id="rId67" Type="http://schemas.openxmlformats.org/officeDocument/2006/relationships/drawing" Target="../drawings/drawing1.xml"/><Relationship Id="rId20" Type="http://schemas.openxmlformats.org/officeDocument/2006/relationships/hyperlink" Target="https://www.sec.gov/Archives/edgar/data/1664703/000166470319000020/bloomenergyq219sharehold.htm" TargetMode="External"/><Relationship Id="rId41" Type="http://schemas.openxmlformats.org/officeDocument/2006/relationships/hyperlink" Target="https://www.sec.gov/Archives/edgar/data/1664703/000166470320000037/a2020q110qbloomd47.htm" TargetMode="External"/><Relationship Id="rId54" Type="http://schemas.openxmlformats.org/officeDocument/2006/relationships/hyperlink" Target="https://www.sec.gov/Archives/edgar/data/1664703/000162828023027213/be-20230630.htm" TargetMode="External"/><Relationship Id="rId62" Type="http://schemas.openxmlformats.org/officeDocument/2006/relationships/hyperlink" Target="https://www.sec.gov/Archives/edgar/data/1664703/000162828025037074/be-20250630.htm" TargetMode="External"/><Relationship Id="rId1" Type="http://schemas.openxmlformats.org/officeDocument/2006/relationships/hyperlink" Target="https://www.sec.gov/Archives/edgar/data/1664703/000162828025036998/ex991_q22025financialresul.htm" TargetMode="External"/><Relationship Id="rId6" Type="http://schemas.openxmlformats.org/officeDocument/2006/relationships/hyperlink" Target="https://www.sec.gov/Archives/edgar/data/1664703/000162828025008626/ex991_q42024financialresul.htm" TargetMode="External"/><Relationship Id="rId15" Type="http://schemas.openxmlformats.org/officeDocument/2006/relationships/hyperlink" Target="https://www.sec.gov/Archives/edgar/data/1664703/000162828024046303/ex991_q32024financialresul.htm" TargetMode="External"/><Relationship Id="rId23" Type="http://schemas.openxmlformats.org/officeDocument/2006/relationships/hyperlink" Target="https://www.sec.gov/Archives/edgar/data/1664703/000166470321000041/ex991be1q21financialresults.htm" TargetMode="External"/><Relationship Id="rId28" Type="http://schemas.openxmlformats.org/officeDocument/2006/relationships/hyperlink" Target="https://www.sec.gov/Archives/edgar/data/1664703/000162828023027206/ex991_q22023financialresul.htm" TargetMode="External"/><Relationship Id="rId36" Type="http://schemas.openxmlformats.org/officeDocument/2006/relationships/hyperlink" Target="https://www.sec.gov/Archives/edgar/data/1664703/000166470319000008/a2018q410kbloomenergycorp.htm" TargetMode="External"/><Relationship Id="rId49" Type="http://schemas.openxmlformats.org/officeDocument/2006/relationships/hyperlink" Target="https://www.sec.gov/Archives/edgar/data/1664703/000166470322000059/be-20220331.htm" TargetMode="External"/><Relationship Id="rId57" Type="http://schemas.openxmlformats.org/officeDocument/2006/relationships/hyperlink" Target="https://www.sec.gov/Archives/edgar/data/1664703/000162828024022309/be-20240331.htm" TargetMode="External"/><Relationship Id="rId10" Type="http://schemas.openxmlformats.org/officeDocument/2006/relationships/hyperlink" Target="https://www.sec.gov/Archives/edgar/data/1664703/000162828025008626/ex991_q42024financialresul.htm" TargetMode="External"/><Relationship Id="rId31" Type="http://schemas.openxmlformats.org/officeDocument/2006/relationships/hyperlink" Target="https://www.sec.gov/Archives/edgar/data/1664703/000162828024022195/ex991_q12024financialresul.htm" TargetMode="External"/><Relationship Id="rId44" Type="http://schemas.openxmlformats.org/officeDocument/2006/relationships/hyperlink" Target="https://www.sec.gov/Archives/edgar/data/1664703/000166470321000017/be-20201231.htm" TargetMode="External"/><Relationship Id="rId52" Type="http://schemas.openxmlformats.org/officeDocument/2006/relationships/hyperlink" Target="https://www.sec.gov/Archives/edgar/data/1664703/000162828023004301/be-20221231.htm" TargetMode="External"/><Relationship Id="rId60" Type="http://schemas.openxmlformats.org/officeDocument/2006/relationships/hyperlink" Target="https://www.sec.gov/Archives/edgar/data/1664703/000162828025008747/be-20241231.htm" TargetMode="External"/><Relationship Id="rId65" Type="http://schemas.openxmlformats.org/officeDocument/2006/relationships/hyperlink" Target="https://www.sec.gov/Archives/edgar/data/1664703/000162828026028021/be-20260331.htm" TargetMode="External"/><Relationship Id="rId4" Type="http://schemas.openxmlformats.org/officeDocument/2006/relationships/hyperlink" Target="https://www.sec.gov/Archives/edgar/data/1664703/000162828026027913/ex991_q126financialresults.htm" TargetMode="External"/><Relationship Id="rId9" Type="http://schemas.openxmlformats.org/officeDocument/2006/relationships/hyperlink" Target="https://www.sec.gov/Archives/edgar/data/1664703/000162828024046303/ex991_q32024financialresul.htm" TargetMode="External"/><Relationship Id="rId13" Type="http://schemas.openxmlformats.org/officeDocument/2006/relationships/hyperlink" Target="https://www.sec.gov/Archives/edgar/data/1664703/000162828024046303/ex991_q32024financialresul.htm" TargetMode="External"/><Relationship Id="rId18" Type="http://schemas.openxmlformats.org/officeDocument/2006/relationships/hyperlink" Target="https://www.sec.gov/Archives/edgar/data/1664703/000115752318001784/a51850494ex99_1.htm" TargetMode="External"/><Relationship Id="rId39" Type="http://schemas.openxmlformats.org/officeDocument/2006/relationships/hyperlink" Target="https://www.sec.gov/Archives/edgar/data/1664703/000166470319000040/a2019_q3x10qxbloomenergy.htm" TargetMode="External"/><Relationship Id="rId34" Type="http://schemas.openxmlformats.org/officeDocument/2006/relationships/hyperlink" Target="https://www.sec.gov/Archives/edgar/data/1664703/000162828018011710/bloomenergycorp6-30x1810q.htm" TargetMode="External"/><Relationship Id="rId50" Type="http://schemas.openxmlformats.org/officeDocument/2006/relationships/hyperlink" Target="https://www.sec.gov/Archives/edgar/data/1664703/000166470322000068/be-20220630.htm" TargetMode="External"/><Relationship Id="rId55" Type="http://schemas.openxmlformats.org/officeDocument/2006/relationships/hyperlink" Target="https://www.sec.gov/Archives/edgar/data/1664703/000162828023037836/be-20230930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6C95D-561E-2848-93D4-760DA66CF86C}">
  <dimension ref="B3:L36"/>
  <sheetViews>
    <sheetView workbookViewId="0">
      <selection activeCell="E33" sqref="E33"/>
    </sheetView>
  </sheetViews>
  <sheetFormatPr defaultColWidth="11" defaultRowHeight="15.75" x14ac:dyDescent="0.25"/>
  <cols>
    <col min="5" max="5" width="32.125" bestFit="1" customWidth="1"/>
    <col min="6" max="6" width="28.625" customWidth="1"/>
  </cols>
  <sheetData>
    <row r="3" spans="2:12" x14ac:dyDescent="0.25">
      <c r="D3" s="3" t="s">
        <v>38</v>
      </c>
      <c r="E3" t="s">
        <v>39</v>
      </c>
      <c r="F3" t="s">
        <v>106</v>
      </c>
      <c r="J3" t="s">
        <v>0</v>
      </c>
      <c r="K3">
        <v>204.02</v>
      </c>
    </row>
    <row r="4" spans="2:12" x14ac:dyDescent="0.25">
      <c r="D4" t="s">
        <v>40</v>
      </c>
      <c r="E4" t="s">
        <v>41</v>
      </c>
      <c r="J4" t="s">
        <v>1</v>
      </c>
      <c r="K4" s="1">
        <v>294527.34600000002</v>
      </c>
      <c r="L4" t="s">
        <v>15</v>
      </c>
    </row>
    <row r="5" spans="2:12" x14ac:dyDescent="0.25">
      <c r="J5" t="s">
        <v>2</v>
      </c>
      <c r="K5" s="1">
        <f>K4*K3</f>
        <v>60089469.130920008</v>
      </c>
    </row>
    <row r="6" spans="2:12" x14ac:dyDescent="0.25">
      <c r="J6" t="s">
        <v>3</v>
      </c>
      <c r="K6" s="1">
        <f>2666.859+28.09</f>
        <v>2694.9490000000001</v>
      </c>
      <c r="L6" t="s">
        <v>15</v>
      </c>
    </row>
    <row r="7" spans="2:12" x14ac:dyDescent="0.25">
      <c r="J7" t="s">
        <v>4</v>
      </c>
      <c r="K7" s="1">
        <f>4.686+2470.704</f>
        <v>2475.3900000000003</v>
      </c>
      <c r="L7" t="s">
        <v>15</v>
      </c>
    </row>
    <row r="8" spans="2:12" x14ac:dyDescent="0.25">
      <c r="J8" t="s">
        <v>5</v>
      </c>
      <c r="K8" s="1">
        <f>K5-K6+K7</f>
        <v>60089249.571920007</v>
      </c>
    </row>
    <row r="11" spans="2:12" x14ac:dyDescent="0.25">
      <c r="D11" t="s">
        <v>62</v>
      </c>
      <c r="E11" t="s">
        <v>61</v>
      </c>
    </row>
    <row r="12" spans="2:12" x14ac:dyDescent="0.25">
      <c r="D12" t="s">
        <v>110</v>
      </c>
      <c r="E12" t="s">
        <v>111</v>
      </c>
    </row>
    <row r="14" spans="2:12" x14ac:dyDescent="0.25">
      <c r="B14">
        <v>2018</v>
      </c>
      <c r="D14" t="s">
        <v>103</v>
      </c>
      <c r="E14" t="s">
        <v>104</v>
      </c>
    </row>
    <row r="15" spans="2:12" x14ac:dyDescent="0.25">
      <c r="D15" t="s">
        <v>105</v>
      </c>
      <c r="E15" t="s">
        <v>104</v>
      </c>
    </row>
    <row r="25" spans="4:6" x14ac:dyDescent="0.25">
      <c r="D25" s="7">
        <v>2001</v>
      </c>
      <c r="E25" t="s">
        <v>60</v>
      </c>
    </row>
    <row r="26" spans="4:6" x14ac:dyDescent="0.25">
      <c r="D26" s="7">
        <v>2006</v>
      </c>
      <c r="E26" t="s">
        <v>63</v>
      </c>
    </row>
    <row r="27" spans="4:6" x14ac:dyDescent="0.25">
      <c r="D27" s="7">
        <v>2008</v>
      </c>
      <c r="E27" t="s">
        <v>64</v>
      </c>
    </row>
    <row r="28" spans="4:6" x14ac:dyDescent="0.25">
      <c r="D28" s="7">
        <v>2011</v>
      </c>
      <c r="E28" t="s">
        <v>65</v>
      </c>
    </row>
    <row r="29" spans="4:6" x14ac:dyDescent="0.25">
      <c r="D29" s="7">
        <v>2012</v>
      </c>
      <c r="E29" t="s">
        <v>66</v>
      </c>
    </row>
    <row r="30" spans="4:6" x14ac:dyDescent="0.25">
      <c r="D30" s="7">
        <v>2013</v>
      </c>
      <c r="E30" t="s">
        <v>67</v>
      </c>
    </row>
    <row r="31" spans="4:6" x14ac:dyDescent="0.25">
      <c r="D31" s="7">
        <v>2016</v>
      </c>
      <c r="E31" t="s">
        <v>68</v>
      </c>
    </row>
    <row r="32" spans="4:6" x14ac:dyDescent="0.25">
      <c r="D32" s="8">
        <v>43070</v>
      </c>
      <c r="E32" t="s">
        <v>101</v>
      </c>
      <c r="F32" t="s">
        <v>102</v>
      </c>
    </row>
    <row r="33" spans="3:8" ht="141.75" x14ac:dyDescent="0.25">
      <c r="C33" t="s">
        <v>98</v>
      </c>
      <c r="D33" s="8">
        <v>43282</v>
      </c>
      <c r="E33" t="s">
        <v>69</v>
      </c>
      <c r="F33" s="9" t="s">
        <v>107</v>
      </c>
      <c r="G33" t="s">
        <v>112</v>
      </c>
      <c r="H33" t="s">
        <v>96</v>
      </c>
    </row>
    <row r="34" spans="3:8" x14ac:dyDescent="0.25">
      <c r="D34" s="7">
        <v>2022</v>
      </c>
      <c r="E34" t="s">
        <v>70</v>
      </c>
    </row>
    <row r="35" spans="3:8" x14ac:dyDescent="0.25">
      <c r="D35" s="7">
        <v>2024</v>
      </c>
      <c r="E35" t="s">
        <v>71</v>
      </c>
    </row>
    <row r="36" spans="3:8" x14ac:dyDescent="0.25">
      <c r="D36" s="7">
        <v>2025</v>
      </c>
      <c r="E36" t="s">
        <v>72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143C-4B46-1145-8926-BC951BDCF94E}">
  <dimension ref="B1:BN108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13" sqref="G13"/>
    </sheetView>
  </sheetViews>
  <sheetFormatPr defaultColWidth="11" defaultRowHeight="15.75" x14ac:dyDescent="0.25"/>
  <cols>
    <col min="2" max="2" width="12.5" customWidth="1"/>
  </cols>
  <sheetData>
    <row r="1" spans="2:66" x14ac:dyDescent="0.25">
      <c r="C1" s="14" t="s">
        <v>123</v>
      </c>
      <c r="D1" s="14" t="s">
        <v>123</v>
      </c>
      <c r="E1" s="14" t="s">
        <v>124</v>
      </c>
      <c r="F1" s="14" t="s">
        <v>123</v>
      </c>
      <c r="G1" s="14" t="s">
        <v>123</v>
      </c>
      <c r="H1" s="14" t="s">
        <v>123</v>
      </c>
      <c r="I1" s="14" t="s">
        <v>124</v>
      </c>
      <c r="J1" s="14" t="s">
        <v>123</v>
      </c>
      <c r="K1" s="14" t="s">
        <v>123</v>
      </c>
      <c r="L1" s="14" t="s">
        <v>123</v>
      </c>
      <c r="M1" s="14" t="s">
        <v>124</v>
      </c>
      <c r="N1" s="14" t="s">
        <v>123</v>
      </c>
      <c r="O1" s="14" t="s">
        <v>123</v>
      </c>
      <c r="P1" s="14" t="s">
        <v>123</v>
      </c>
      <c r="Q1" s="14" t="s">
        <v>124</v>
      </c>
      <c r="R1" s="14" t="s">
        <v>123</v>
      </c>
      <c r="S1" s="14" t="s">
        <v>123</v>
      </c>
      <c r="T1" s="14" t="s">
        <v>123</v>
      </c>
      <c r="U1" s="14" t="s">
        <v>124</v>
      </c>
      <c r="V1" s="14" t="s">
        <v>123</v>
      </c>
      <c r="W1" s="14" t="s">
        <v>123</v>
      </c>
      <c r="X1" s="14" t="s">
        <v>123</v>
      </c>
      <c r="Y1" s="14" t="s">
        <v>124</v>
      </c>
      <c r="Z1" s="14" t="s">
        <v>123</v>
      </c>
      <c r="AA1" s="14" t="s">
        <v>123</v>
      </c>
      <c r="AB1" s="14" t="s">
        <v>123</v>
      </c>
      <c r="AC1" s="14" t="s">
        <v>124</v>
      </c>
      <c r="AD1" s="14" t="s">
        <v>123</v>
      </c>
      <c r="AE1" s="14" t="s">
        <v>123</v>
      </c>
      <c r="AF1" s="14" t="s">
        <v>123</v>
      </c>
      <c r="AG1" s="14" t="s">
        <v>124</v>
      </c>
      <c r="AH1" s="14" t="s">
        <v>123</v>
      </c>
      <c r="AI1" s="14" t="s">
        <v>123</v>
      </c>
    </row>
    <row r="2" spans="2:66" x14ac:dyDescent="0.25">
      <c r="C2" s="10" t="s">
        <v>93</v>
      </c>
      <c r="D2" s="11" t="s">
        <v>94</v>
      </c>
      <c r="E2" s="11" t="s">
        <v>95</v>
      </c>
      <c r="F2" s="13" t="s">
        <v>92</v>
      </c>
      <c r="G2" s="13" t="s">
        <v>91</v>
      </c>
      <c r="H2" s="11" t="s">
        <v>90</v>
      </c>
      <c r="I2" s="11" t="s">
        <v>89</v>
      </c>
      <c r="J2" s="13" t="s">
        <v>88</v>
      </c>
      <c r="K2" s="13" t="s">
        <v>87</v>
      </c>
      <c r="L2" s="11" t="s">
        <v>86</v>
      </c>
      <c r="M2" s="11" t="s">
        <v>85</v>
      </c>
      <c r="N2" s="13" t="s">
        <v>84</v>
      </c>
      <c r="O2" s="13" t="s">
        <v>83</v>
      </c>
      <c r="P2" s="11" t="s">
        <v>82</v>
      </c>
      <c r="Q2" s="11" t="s">
        <v>81</v>
      </c>
      <c r="R2" s="13" t="s">
        <v>80</v>
      </c>
      <c r="S2" s="13" t="s">
        <v>79</v>
      </c>
      <c r="T2" s="11" t="s">
        <v>78</v>
      </c>
      <c r="U2" s="11" t="s">
        <v>77</v>
      </c>
      <c r="V2" s="13" t="s">
        <v>76</v>
      </c>
      <c r="W2" s="13" t="s">
        <v>75</v>
      </c>
      <c r="X2" s="13" t="s">
        <v>74</v>
      </c>
      <c r="Y2" s="13" t="s">
        <v>73</v>
      </c>
      <c r="Z2" s="13" t="s">
        <v>7</v>
      </c>
      <c r="AA2" s="13" t="s">
        <v>8</v>
      </c>
      <c r="AB2" s="10" t="s">
        <v>9</v>
      </c>
      <c r="AC2" s="10" t="s">
        <v>37</v>
      </c>
      <c r="AD2" s="10" t="s">
        <v>10</v>
      </c>
      <c r="AE2" s="10" t="s">
        <v>11</v>
      </c>
      <c r="AF2" s="13" t="s">
        <v>12</v>
      </c>
      <c r="AG2" s="10" t="s">
        <v>13</v>
      </c>
      <c r="AH2" s="10" t="s">
        <v>14</v>
      </c>
      <c r="AI2" s="10" t="s">
        <v>15</v>
      </c>
      <c r="AJ2" t="s">
        <v>16</v>
      </c>
      <c r="AK2" t="s">
        <v>17</v>
      </c>
      <c r="AL2" t="s">
        <v>18</v>
      </c>
      <c r="AM2" t="s">
        <v>19</v>
      </c>
      <c r="AN2" t="s">
        <v>20</v>
      </c>
      <c r="AO2" t="s">
        <v>21</v>
      </c>
      <c r="AR2">
        <v>2018</v>
      </c>
      <c r="AS2">
        <v>2019</v>
      </c>
      <c r="AT2">
        <v>2020</v>
      </c>
      <c r="AU2">
        <v>2021</v>
      </c>
      <c r="AV2">
        <v>2022</v>
      </c>
      <c r="AW2">
        <v>2023</v>
      </c>
      <c r="AX2">
        <v>2024</v>
      </c>
      <c r="AY2">
        <v>2025</v>
      </c>
      <c r="AZ2">
        <v>2026</v>
      </c>
      <c r="BA2">
        <v>2027</v>
      </c>
      <c r="BB2">
        <v>2028</v>
      </c>
      <c r="BC2">
        <v>2029</v>
      </c>
      <c r="BD2">
        <v>2030</v>
      </c>
      <c r="BE2">
        <v>2031</v>
      </c>
      <c r="BF2">
        <v>2032</v>
      </c>
      <c r="BG2">
        <v>2033</v>
      </c>
      <c r="BH2">
        <v>2034</v>
      </c>
      <c r="BI2">
        <v>2035</v>
      </c>
      <c r="BJ2">
        <v>2036</v>
      </c>
      <c r="BK2">
        <v>2037</v>
      </c>
      <c r="BL2">
        <v>2038</v>
      </c>
      <c r="BM2">
        <v>2039</v>
      </c>
      <c r="BN2">
        <v>2040</v>
      </c>
    </row>
    <row r="4" spans="2:66" x14ac:dyDescent="0.25">
      <c r="B4" t="s">
        <v>100</v>
      </c>
    </row>
    <row r="5" spans="2:66" x14ac:dyDescent="0.25">
      <c r="B5" t="s">
        <v>99</v>
      </c>
      <c r="C5">
        <v>29</v>
      </c>
    </row>
    <row r="6" spans="2:66" x14ac:dyDescent="0.25">
      <c r="B6" t="s">
        <v>97</v>
      </c>
      <c r="C6">
        <v>328</v>
      </c>
    </row>
    <row r="8" spans="2:66" x14ac:dyDescent="0.25">
      <c r="B8" t="s">
        <v>108</v>
      </c>
      <c r="C8">
        <v>181</v>
      </c>
    </row>
    <row r="9" spans="2:66" x14ac:dyDescent="0.25">
      <c r="B9" t="s">
        <v>109</v>
      </c>
      <c r="C9">
        <v>18.100000000000001</v>
      </c>
    </row>
    <row r="12" spans="2:66" x14ac:dyDescent="0.25">
      <c r="B12" t="s">
        <v>59</v>
      </c>
    </row>
    <row r="13" spans="2:66" x14ac:dyDescent="0.25">
      <c r="B13" t="s">
        <v>58</v>
      </c>
      <c r="AG13">
        <v>1752</v>
      </c>
    </row>
    <row r="14" spans="2:66" x14ac:dyDescent="0.25">
      <c r="B14" t="s">
        <v>42</v>
      </c>
      <c r="AG14">
        <v>2214</v>
      </c>
    </row>
    <row r="15" spans="2:66" x14ac:dyDescent="0.25">
      <c r="B15" t="s">
        <v>43</v>
      </c>
      <c r="AG15">
        <v>1100</v>
      </c>
    </row>
    <row r="17" spans="2:35" x14ac:dyDescent="0.25">
      <c r="B17" t="s">
        <v>56</v>
      </c>
    </row>
    <row r="18" spans="2:35" x14ac:dyDescent="0.25">
      <c r="B18" t="s">
        <v>57</v>
      </c>
    </row>
    <row r="19" spans="2:35" x14ac:dyDescent="0.25">
      <c r="B19" t="s">
        <v>44</v>
      </c>
      <c r="AG19">
        <v>9</v>
      </c>
    </row>
    <row r="21" spans="2:35" x14ac:dyDescent="0.25">
      <c r="B21" t="s">
        <v>53</v>
      </c>
    </row>
    <row r="22" spans="2:35" x14ac:dyDescent="0.25">
      <c r="B22" t="s">
        <v>54</v>
      </c>
    </row>
    <row r="23" spans="2:35" x14ac:dyDescent="0.25">
      <c r="B23" t="s">
        <v>55</v>
      </c>
    </row>
    <row r="28" spans="2:35" x14ac:dyDescent="0.25">
      <c r="B28" t="s">
        <v>49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>
        <f>Z33/Z$37</f>
        <v>0.65178624552694886</v>
      </c>
      <c r="AA28" s="2">
        <f t="shared" ref="AA28:AI28" si="0">AA33/AA$37</f>
        <v>0.67400310334249647</v>
      </c>
      <c r="AB28" s="2">
        <f t="shared" si="0"/>
        <v>0.70744210819382403</v>
      </c>
      <c r="AC28" s="2">
        <f t="shared" si="0"/>
        <v>0.82410336953806207</v>
      </c>
      <c r="AD28" s="2">
        <f t="shared" si="0"/>
        <v>0.6498630456320299</v>
      </c>
      <c r="AE28" s="2">
        <f t="shared" si="0"/>
        <v>0.73923218406846736</v>
      </c>
      <c r="AF28" s="2">
        <f t="shared" si="0"/>
        <v>0.74042092446170682</v>
      </c>
      <c r="AG28" s="2">
        <f t="shared" si="0"/>
        <v>0.82101190330764584</v>
      </c>
      <c r="AH28" s="2">
        <f t="shared" si="0"/>
        <v>0.8699081557384688</v>
      </c>
      <c r="AI28" s="2">
        <f t="shared" si="0"/>
        <v>0.87802114768178041</v>
      </c>
    </row>
    <row r="29" spans="2:35" x14ac:dyDescent="0.25">
      <c r="B29" t="s">
        <v>50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>
        <f t="shared" ref="Z29:AI31" si="1">Z34/Z$37</f>
        <v>4.8636197502741209E-2</v>
      </c>
      <c r="AA29" s="2">
        <f t="shared" si="1"/>
        <v>0.12726980316707717</v>
      </c>
      <c r="AB29" s="2">
        <f t="shared" si="1"/>
        <v>9.6996767984893054E-2</v>
      </c>
      <c r="AC29" s="2">
        <f t="shared" si="1"/>
        <v>6.3049338478982087E-2</v>
      </c>
      <c r="AD29" s="2">
        <f t="shared" si="1"/>
        <v>0.10321727741464509</v>
      </c>
      <c r="AE29" s="2">
        <f t="shared" si="1"/>
        <v>9.3140797822760329E-2</v>
      </c>
      <c r="AF29" s="2">
        <f t="shared" si="1"/>
        <v>0.12671853084878468</v>
      </c>
      <c r="AG29" s="2">
        <f t="shared" si="1"/>
        <v>8.6503112450702926E-2</v>
      </c>
      <c r="AH29" s="2">
        <f t="shared" si="1"/>
        <v>3.4526145922929644E-2</v>
      </c>
      <c r="AI29" s="2">
        <f t="shared" si="1"/>
        <v>4.785026727928926E-2</v>
      </c>
    </row>
    <row r="30" spans="2:35" x14ac:dyDescent="0.25">
      <c r="B30" t="s">
        <v>51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>
        <f t="shared" si="1"/>
        <v>0.23995104080782667</v>
      </c>
      <c r="AA30" s="2">
        <f t="shared" si="1"/>
        <v>0.15645075305196759</v>
      </c>
      <c r="AB30" s="2">
        <f t="shared" si="1"/>
        <v>0.15361453075256321</v>
      </c>
      <c r="AC30" s="2">
        <f t="shared" si="1"/>
        <v>9.3973895557772358E-2</v>
      </c>
      <c r="AD30" s="2">
        <f t="shared" si="1"/>
        <v>0.16424708837774257</v>
      </c>
      <c r="AE30" s="2">
        <f t="shared" si="1"/>
        <v>0.13570114793565977</v>
      </c>
      <c r="AF30" s="2">
        <f t="shared" si="1"/>
        <v>0.11291248593579013</v>
      </c>
      <c r="AG30" s="2">
        <f t="shared" si="1"/>
        <v>7.9326666520934633E-2</v>
      </c>
      <c r="AH30" s="2">
        <f t="shared" si="1"/>
        <v>8.2389548554431508E-2</v>
      </c>
      <c r="AI30" s="2">
        <f t="shared" si="1"/>
        <v>6.4788124257883439E-2</v>
      </c>
    </row>
    <row r="31" spans="2:35" x14ac:dyDescent="0.25">
      <c r="B31" t="s">
        <v>52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>
        <f t="shared" si="1"/>
        <v>5.9626516162483316E-2</v>
      </c>
      <c r="AA31" s="2">
        <f t="shared" si="1"/>
        <v>4.2276340438458813E-2</v>
      </c>
      <c r="AB31" s="2">
        <f t="shared" si="1"/>
        <v>4.1946593068719659E-2</v>
      </c>
      <c r="AC31" s="2">
        <f t="shared" si="1"/>
        <v>1.8873396425183396E-2</v>
      </c>
      <c r="AD31" s="2">
        <f t="shared" si="1"/>
        <v>8.2672588575582559E-2</v>
      </c>
      <c r="AE31" s="2">
        <f t="shared" si="1"/>
        <v>3.1925870173112485E-2</v>
      </c>
      <c r="AF31" s="2">
        <f t="shared" si="1"/>
        <v>1.9948058753718346E-2</v>
      </c>
      <c r="AG31" s="2">
        <f t="shared" si="1"/>
        <v>1.315831772071654E-2</v>
      </c>
      <c r="AH31" s="2">
        <f t="shared" si="1"/>
        <v>1.3176149784169981E-2</v>
      </c>
      <c r="AI31" s="2">
        <f t="shared" si="1"/>
        <v>9.3404607810468714E-3</v>
      </c>
    </row>
    <row r="33" spans="2:51" x14ac:dyDescent="0.25">
      <c r="B33" t="s">
        <v>26</v>
      </c>
      <c r="C33" s="1">
        <v>108.654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>
        <v>153.364</v>
      </c>
      <c r="AA33" s="1">
        <v>226.30799999999999</v>
      </c>
      <c r="AB33" s="1">
        <v>233.77</v>
      </c>
      <c r="AC33" s="1">
        <v>471.71100000000001</v>
      </c>
      <c r="AD33" s="1">
        <v>211.869</v>
      </c>
      <c r="AE33" s="1">
        <v>296.61099999999999</v>
      </c>
      <c r="AF33" s="1">
        <v>384.31400000000002</v>
      </c>
      <c r="AG33" s="1">
        <v>638.48699999999997</v>
      </c>
      <c r="AH33" s="1">
        <v>653.34799999999996</v>
      </c>
      <c r="AI33" s="1">
        <v>935.41300000000001</v>
      </c>
      <c r="AX33" s="1">
        <f>SUM(Z33:AC33)</f>
        <v>1085.153</v>
      </c>
      <c r="AY33" s="1">
        <f>SUM(AD33:AG33)</f>
        <v>1531.2809999999999</v>
      </c>
    </row>
    <row r="34" spans="2:51" x14ac:dyDescent="0.25">
      <c r="B34" t="s">
        <v>27</v>
      </c>
      <c r="C34" s="1">
        <v>26.245000000000001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>
        <v>11.444000000000001</v>
      </c>
      <c r="AA34" s="1">
        <v>42.732999999999997</v>
      </c>
      <c r="AB34" s="1">
        <v>32.052</v>
      </c>
      <c r="AC34" s="1">
        <v>36.088999999999999</v>
      </c>
      <c r="AD34" s="1">
        <v>33.651000000000003</v>
      </c>
      <c r="AE34" s="1">
        <v>37.372</v>
      </c>
      <c r="AF34" s="1">
        <v>65.772999999999996</v>
      </c>
      <c r="AG34" s="1">
        <v>67.272000000000006</v>
      </c>
      <c r="AH34" s="1">
        <v>25.931000000000001</v>
      </c>
      <c r="AI34" s="1">
        <v>50.978000000000002</v>
      </c>
      <c r="AX34" s="1">
        <f t="shared" ref="AX34:AX37" si="2">SUM(Z34:AC34)</f>
        <v>122.318</v>
      </c>
      <c r="AY34" s="1">
        <f t="shared" ref="AY34:AY37" si="3">SUM(AD34:AG34)</f>
        <v>204.06799999999998</v>
      </c>
    </row>
    <row r="35" spans="2:51" x14ac:dyDescent="0.25">
      <c r="B35" t="s">
        <v>28</v>
      </c>
      <c r="C35" s="1">
        <v>19.975000000000001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>
        <v>56.46</v>
      </c>
      <c r="AA35" s="1">
        <v>52.530999999999999</v>
      </c>
      <c r="AB35" s="1">
        <v>50.761000000000003</v>
      </c>
      <c r="AC35" s="1">
        <v>53.79</v>
      </c>
      <c r="AD35" s="1">
        <v>53.548000000000002</v>
      </c>
      <c r="AE35" s="1">
        <v>54.448999999999998</v>
      </c>
      <c r="AF35" s="1">
        <v>58.606999999999999</v>
      </c>
      <c r="AG35" s="1">
        <v>61.691000000000003</v>
      </c>
      <c r="AH35" s="1">
        <v>61.878999999999998</v>
      </c>
      <c r="AI35" s="1">
        <v>69.022999999999996</v>
      </c>
      <c r="AX35" s="1">
        <f t="shared" si="2"/>
        <v>213.542</v>
      </c>
      <c r="AY35" s="1">
        <f t="shared" si="3"/>
        <v>228.29499999999999</v>
      </c>
    </row>
    <row r="36" spans="2:51" x14ac:dyDescent="0.25">
      <c r="B36" t="s">
        <v>29</v>
      </c>
      <c r="C36" s="1">
        <v>14.007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>
        <v>14.03</v>
      </c>
      <c r="AA36" s="1">
        <v>14.195</v>
      </c>
      <c r="AB36" s="1">
        <v>13.861000000000001</v>
      </c>
      <c r="AC36" s="1">
        <v>10.803000000000001</v>
      </c>
      <c r="AD36" s="1">
        <v>26.952999999999999</v>
      </c>
      <c r="AE36" s="1">
        <v>12.81</v>
      </c>
      <c r="AF36" s="1">
        <v>10.353999999999999</v>
      </c>
      <c r="AG36" s="1">
        <v>10.233000000000001</v>
      </c>
      <c r="AH36" s="1">
        <v>9.8960000000000008</v>
      </c>
      <c r="AI36" s="1">
        <v>9.9510000000000005</v>
      </c>
      <c r="AX36" s="1">
        <f t="shared" si="2"/>
        <v>52.888999999999996</v>
      </c>
      <c r="AY36" s="1">
        <f t="shared" si="3"/>
        <v>60.349999999999994</v>
      </c>
    </row>
    <row r="37" spans="2:51" s="3" customFormat="1" x14ac:dyDescent="0.25">
      <c r="B37" s="3" t="s">
        <v>6</v>
      </c>
      <c r="C37" s="4">
        <f>SUM(C33:C36)</f>
        <v>168.881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>
        <f t="shared" ref="Z37:AI37" si="4">SUM(Z33:Z36)</f>
        <v>235.298</v>
      </c>
      <c r="AA37" s="4">
        <f t="shared" si="4"/>
        <v>335.767</v>
      </c>
      <c r="AB37" s="4">
        <f t="shared" si="4"/>
        <v>330.44400000000002</v>
      </c>
      <c r="AC37" s="4">
        <f t="shared" si="4"/>
        <v>572.39300000000003</v>
      </c>
      <c r="AD37" s="4">
        <f t="shared" si="4"/>
        <v>326.02099999999996</v>
      </c>
      <c r="AE37" s="4">
        <f t="shared" si="4"/>
        <v>401.24200000000002</v>
      </c>
      <c r="AF37" s="4">
        <f t="shared" si="4"/>
        <v>519.048</v>
      </c>
      <c r="AG37" s="4">
        <f t="shared" si="4"/>
        <v>777.68299999999999</v>
      </c>
      <c r="AH37" s="4">
        <f t="shared" si="4"/>
        <v>751.05399999999997</v>
      </c>
      <c r="AI37" s="4">
        <f t="shared" si="4"/>
        <v>1065.365</v>
      </c>
      <c r="AX37" s="4">
        <f t="shared" si="2"/>
        <v>1473.902</v>
      </c>
      <c r="AY37" s="4">
        <f t="shared" si="3"/>
        <v>2023.9939999999999</v>
      </c>
    </row>
    <row r="38" spans="2:51" s="3" customFormat="1" x14ac:dyDescent="0.25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2:51" s="6" customFormat="1" x14ac:dyDescent="0.25">
      <c r="B39" s="6" t="s">
        <v>26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>
        <v>115.75700000000001</v>
      </c>
      <c r="AA39" s="5">
        <v>161.33199999999999</v>
      </c>
      <c r="AB39" s="5">
        <v>155.124</v>
      </c>
      <c r="AC39" s="5">
        <v>253.63399999999999</v>
      </c>
      <c r="AD39" s="5">
        <v>139.57300000000001</v>
      </c>
      <c r="AE39" s="5">
        <v>198.74600000000001</v>
      </c>
      <c r="AF39" s="5">
        <v>249.79400000000001</v>
      </c>
      <c r="AG39" s="5">
        <v>404.72800000000001</v>
      </c>
      <c r="AH39" s="5">
        <v>429.23200000000003</v>
      </c>
      <c r="AI39" s="5">
        <v>593.95699999999999</v>
      </c>
      <c r="AX39" s="1">
        <f>SUM(Z39:AC39)</f>
        <v>685.84699999999998</v>
      </c>
    </row>
    <row r="40" spans="2:51" s="3" customFormat="1" x14ac:dyDescent="0.25">
      <c r="B40" t="s">
        <v>27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>
        <v>15.353</v>
      </c>
      <c r="AA40" s="5">
        <v>44.298000000000002</v>
      </c>
      <c r="AB40" s="5">
        <v>35.688000000000002</v>
      </c>
      <c r="AC40" s="5">
        <v>34.106999999999999</v>
      </c>
      <c r="AD40" s="5">
        <v>33.314999999999998</v>
      </c>
      <c r="AE40" s="5">
        <v>38.223999999999997</v>
      </c>
      <c r="AF40" s="5">
        <v>59.920999999999999</v>
      </c>
      <c r="AG40" s="5">
        <v>74.486000000000004</v>
      </c>
      <c r="AH40" s="5">
        <v>35.08</v>
      </c>
      <c r="AI40" s="5">
        <v>52.829000000000001</v>
      </c>
      <c r="AX40" s="1">
        <f t="shared" ref="AX40:AX43" si="5">SUM(Z40:AC40)</f>
        <v>129.446</v>
      </c>
    </row>
    <row r="41" spans="2:51" s="3" customFormat="1" x14ac:dyDescent="0.25">
      <c r="B41" t="s">
        <v>28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56.506</v>
      </c>
      <c r="AA41" s="5">
        <v>52.401000000000003</v>
      </c>
      <c r="AB41" s="5">
        <v>51.363</v>
      </c>
      <c r="AC41" s="5">
        <v>54.691000000000003</v>
      </c>
      <c r="AD41" s="5">
        <v>52.857999999999997</v>
      </c>
      <c r="AE41" s="5">
        <v>49.408000000000001</v>
      </c>
      <c r="AF41" s="5">
        <v>51.834000000000003</v>
      </c>
      <c r="AG41" s="5">
        <v>51.289000000000001</v>
      </c>
      <c r="AH41" s="5">
        <v>53.664000000000001</v>
      </c>
      <c r="AI41" s="5">
        <v>56.148000000000003</v>
      </c>
      <c r="AX41" s="1">
        <f t="shared" si="5"/>
        <v>214.96100000000001</v>
      </c>
    </row>
    <row r="42" spans="2:51" s="3" customFormat="1" x14ac:dyDescent="0.25">
      <c r="B42" t="s">
        <v>29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>
        <v>9.6059999999999999</v>
      </c>
      <c r="AA42" s="5">
        <v>9.2140000000000004</v>
      </c>
      <c r="AB42" s="5">
        <v>9.49</v>
      </c>
      <c r="AC42" s="5">
        <v>10.644</v>
      </c>
      <c r="AD42" s="5">
        <v>11.568</v>
      </c>
      <c r="AE42" s="5">
        <v>7.7409999999999997</v>
      </c>
      <c r="AF42" s="5">
        <v>5.8239999999999998</v>
      </c>
      <c r="AG42" s="5">
        <v>7.2850000000000001</v>
      </c>
      <c r="AH42" s="5">
        <v>7.5339999999999998</v>
      </c>
      <c r="AI42" s="5">
        <v>6.859</v>
      </c>
      <c r="AX42" s="1">
        <f t="shared" si="5"/>
        <v>38.954000000000001</v>
      </c>
    </row>
    <row r="43" spans="2:51" s="3" customFormat="1" x14ac:dyDescent="0.25">
      <c r="B43" s="3" t="s">
        <v>22</v>
      </c>
      <c r="C43" s="4">
        <f>C37-136.11</f>
        <v>32.770999999999987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>
        <f t="shared" ref="Z43:AG43" si="6">Z37-SUM(Z39:Z42)</f>
        <v>38.075999999999993</v>
      </c>
      <c r="AA43" s="4">
        <f t="shared" si="6"/>
        <v>68.521999999999991</v>
      </c>
      <c r="AB43" s="4">
        <f t="shared" si="6"/>
        <v>78.778999999999996</v>
      </c>
      <c r="AC43" s="4">
        <f t="shared" si="6"/>
        <v>219.31700000000001</v>
      </c>
      <c r="AD43" s="4">
        <f t="shared" si="6"/>
        <v>88.706999999999937</v>
      </c>
      <c r="AE43" s="4">
        <f t="shared" si="6"/>
        <v>107.12300000000005</v>
      </c>
      <c r="AF43" s="4">
        <f t="shared" si="6"/>
        <v>151.67499999999995</v>
      </c>
      <c r="AG43" s="4">
        <f t="shared" si="6"/>
        <v>239.89499999999998</v>
      </c>
      <c r="AH43" s="4">
        <f t="shared" ref="AH43:AI43" si="7">AH37-SUM(AH39:AH42)</f>
        <v>225.54399999999998</v>
      </c>
      <c r="AI43" s="4">
        <f t="shared" si="7"/>
        <v>355.572</v>
      </c>
      <c r="AX43" s="4">
        <f t="shared" si="5"/>
        <v>404.69399999999996</v>
      </c>
    </row>
    <row r="44" spans="2:51" s="6" customFormat="1" x14ac:dyDescent="0.25">
      <c r="B44" s="6" t="s">
        <v>30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>
        <v>35.484999999999999</v>
      </c>
      <c r="AA44" s="5">
        <v>37.363999999999997</v>
      </c>
      <c r="AB44" s="5">
        <v>36.314999999999998</v>
      </c>
      <c r="AC44" s="5">
        <v>39.465000000000003</v>
      </c>
      <c r="AD44" s="5">
        <v>40.612000000000002</v>
      </c>
      <c r="AE44" s="5">
        <v>40.768000000000001</v>
      </c>
      <c r="AF44" s="5">
        <v>48.723999999999997</v>
      </c>
      <c r="AG44" s="5">
        <v>55.889000000000003</v>
      </c>
      <c r="AH44" s="5">
        <f>56.849</f>
        <v>56.848999999999997</v>
      </c>
      <c r="AI44" s="5">
        <v>58.872999999999998</v>
      </c>
      <c r="AX44" s="1">
        <f>SUM(Z44:AC44)</f>
        <v>148.62899999999999</v>
      </c>
    </row>
    <row r="45" spans="2:51" s="6" customFormat="1" x14ac:dyDescent="0.25">
      <c r="B45" s="6" t="s">
        <v>31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>
        <v>13.599</v>
      </c>
      <c r="AA45" s="5">
        <v>17.901</v>
      </c>
      <c r="AB45" s="5">
        <v>14.667</v>
      </c>
      <c r="AC45" s="5">
        <v>21.838000000000001</v>
      </c>
      <c r="AD45" s="5">
        <v>22.265000000000001</v>
      </c>
      <c r="AE45" s="5">
        <v>24.065999999999999</v>
      </c>
      <c r="AF45" s="5">
        <v>41.994999999999997</v>
      </c>
      <c r="AG45" s="5">
        <v>41.902000000000001</v>
      </c>
      <c r="AH45" s="5">
        <v>38.439</v>
      </c>
      <c r="AI45" s="5">
        <v>43.045000000000002</v>
      </c>
      <c r="AX45" s="1">
        <f t="shared" ref="AX45:AX48" si="8">SUM(Z45:AC45)</f>
        <v>68.004999999999995</v>
      </c>
    </row>
    <row r="46" spans="2:51" s="6" customFormat="1" x14ac:dyDescent="0.25">
      <c r="B46" s="6" t="s">
        <v>32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>
        <v>38.009</v>
      </c>
      <c r="AA46" s="5">
        <v>36.384999999999998</v>
      </c>
      <c r="AB46" s="5">
        <v>37.402999999999999</v>
      </c>
      <c r="AC46" s="5">
        <v>53.308</v>
      </c>
      <c r="AD46" s="5">
        <v>44.9</v>
      </c>
      <c r="AE46" s="5">
        <v>45.792000000000002</v>
      </c>
      <c r="AF46" s="5">
        <v>53.11</v>
      </c>
      <c r="AG46" s="5">
        <v>54.575000000000003</v>
      </c>
      <c r="AH46" s="5">
        <v>58.066000000000003</v>
      </c>
      <c r="AI46" s="5">
        <v>71.417000000000002</v>
      </c>
      <c r="AX46" s="1">
        <f t="shared" si="8"/>
        <v>165.10499999999999</v>
      </c>
    </row>
    <row r="47" spans="2:51" s="3" customFormat="1" x14ac:dyDescent="0.25">
      <c r="B47" s="3" t="s">
        <v>24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>
        <f t="shared" ref="Z47:AF47" si="9">Z43-SUM(Z44:Z46)</f>
        <v>-49.01700000000001</v>
      </c>
      <c r="AA47" s="4">
        <f t="shared" si="9"/>
        <v>-23.128000000000014</v>
      </c>
      <c r="AB47" s="4">
        <f t="shared" si="9"/>
        <v>-9.6059999999999945</v>
      </c>
      <c r="AC47" s="4">
        <f t="shared" si="9"/>
        <v>104.706</v>
      </c>
      <c r="AD47" s="4">
        <f t="shared" si="9"/>
        <v>-19.070000000000064</v>
      </c>
      <c r="AE47" s="4">
        <f t="shared" si="9"/>
        <v>-3.5029999999999575</v>
      </c>
      <c r="AF47" s="4">
        <f t="shared" si="9"/>
        <v>7.8459999999999468</v>
      </c>
      <c r="AG47" s="4">
        <f t="shared" ref="AG47:AI47" si="10">AG43-SUM(AG44:AG46)</f>
        <v>87.528999999999996</v>
      </c>
      <c r="AH47" s="4">
        <f t="shared" si="10"/>
        <v>72.19</v>
      </c>
      <c r="AI47" s="4">
        <f t="shared" si="10"/>
        <v>182.23699999999999</v>
      </c>
      <c r="AX47" s="1">
        <f t="shared" si="8"/>
        <v>22.954999999999984</v>
      </c>
    </row>
    <row r="48" spans="2:51" s="3" customFormat="1" x14ac:dyDescent="0.25">
      <c r="B48" s="3" t="s">
        <v>36</v>
      </c>
      <c r="AE48" s="4"/>
      <c r="AF48" s="4"/>
      <c r="AG48" s="4"/>
      <c r="AH48" s="4"/>
      <c r="AI48" s="4"/>
      <c r="AX48" s="4">
        <f t="shared" si="8"/>
        <v>0</v>
      </c>
    </row>
    <row r="49" spans="2:50" x14ac:dyDescent="0.25">
      <c r="B49" s="6" t="s">
        <v>34</v>
      </c>
      <c r="AX49" s="1">
        <f>SUM(Z49:AC49)</f>
        <v>0</v>
      </c>
    </row>
    <row r="50" spans="2:50" x14ac:dyDescent="0.25">
      <c r="B50" s="6" t="s">
        <v>33</v>
      </c>
      <c r="AX50" s="1">
        <f>SUM(Z50:AC50)</f>
        <v>0</v>
      </c>
    </row>
    <row r="51" spans="2:50" x14ac:dyDescent="0.25">
      <c r="B51" s="6" t="s">
        <v>35</v>
      </c>
      <c r="AX51" s="1">
        <f>SUM(Z51:AC51)</f>
        <v>0</v>
      </c>
    </row>
    <row r="52" spans="2:50" x14ac:dyDescent="0.25">
      <c r="AX52" s="1"/>
    </row>
    <row r="53" spans="2:50" x14ac:dyDescent="0.25">
      <c r="B53" t="s">
        <v>45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>
        <f>(Z33-Z39)/Z33</f>
        <v>0.24521400067812524</v>
      </c>
      <c r="AA53" s="2">
        <f t="shared" ref="AA53:AI53" si="11">(AA33-AA39)/AA33</f>
        <v>0.28711313784753523</v>
      </c>
      <c r="AB53" s="2">
        <f t="shared" si="11"/>
        <v>0.33642469093553495</v>
      </c>
      <c r="AC53" s="2">
        <f t="shared" si="11"/>
        <v>0.46231060967414372</v>
      </c>
      <c r="AD53" s="2">
        <f t="shared" si="11"/>
        <v>0.34122972213962399</v>
      </c>
      <c r="AE53" s="2">
        <f t="shared" si="11"/>
        <v>0.32994393329984384</v>
      </c>
      <c r="AF53" s="2">
        <f t="shared" si="11"/>
        <v>0.35002628059347307</v>
      </c>
      <c r="AG53" s="2">
        <f t="shared" si="11"/>
        <v>0.3661139537688316</v>
      </c>
      <c r="AH53" s="2">
        <f t="shared" si="11"/>
        <v>0.34302699327157954</v>
      </c>
      <c r="AI53" s="2">
        <f t="shared" si="11"/>
        <v>0.36503234400206114</v>
      </c>
      <c r="AX53" s="4">
        <f>SUM(Z53:AC53)</f>
        <v>1.3310624391353392</v>
      </c>
    </row>
    <row r="54" spans="2:50" x14ac:dyDescent="0.25">
      <c r="B54" t="s">
        <v>46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>
        <f t="shared" ref="Z54:AI56" si="12">(Z34-Z40)/Z34</f>
        <v>-0.34157637189793766</v>
      </c>
      <c r="AA54" s="2">
        <f t="shared" si="12"/>
        <v>-3.6622750567477241E-2</v>
      </c>
      <c r="AB54" s="2">
        <f t="shared" si="12"/>
        <v>-0.11344065892924007</v>
      </c>
      <c r="AC54" s="2">
        <f t="shared" si="12"/>
        <v>5.4919781650918549E-2</v>
      </c>
      <c r="AD54" s="2">
        <f t="shared" si="12"/>
        <v>9.9848444325578919E-3</v>
      </c>
      <c r="AE54" s="2">
        <f t="shared" si="12"/>
        <v>-2.279781654714751E-2</v>
      </c>
      <c r="AF54" s="2">
        <f t="shared" si="12"/>
        <v>8.8972678758761151E-2</v>
      </c>
      <c r="AG54" s="2">
        <f t="shared" si="12"/>
        <v>-0.10723629444642642</v>
      </c>
      <c r="AH54" s="2">
        <f t="shared" si="12"/>
        <v>-0.35282094790019658</v>
      </c>
      <c r="AI54" s="2">
        <f t="shared" si="12"/>
        <v>-3.6309780689709269E-2</v>
      </c>
    </row>
    <row r="55" spans="2:50" x14ac:dyDescent="0.25">
      <c r="B55" t="s">
        <v>47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>
        <f t="shared" si="12"/>
        <v>-8.1473609635138817E-4</v>
      </c>
      <c r="AA55" s="2">
        <f t="shared" si="12"/>
        <v>2.4747292075154759E-3</v>
      </c>
      <c r="AB55" s="2">
        <f t="shared" si="12"/>
        <v>-1.1859498433836936E-2</v>
      </c>
      <c r="AC55" s="2">
        <f t="shared" si="12"/>
        <v>-1.6750325339282456E-2</v>
      </c>
      <c r="AD55" s="2">
        <f t="shared" si="12"/>
        <v>1.2885635317845761E-2</v>
      </c>
      <c r="AE55" s="2">
        <f t="shared" si="12"/>
        <v>9.2582049257102922E-2</v>
      </c>
      <c r="AF55" s="2">
        <f t="shared" si="12"/>
        <v>0.11556639991809846</v>
      </c>
      <c r="AG55" s="2">
        <f t="shared" si="12"/>
        <v>0.16861454669238626</v>
      </c>
      <c r="AH55" s="2">
        <f t="shared" si="12"/>
        <v>0.13275909436157657</v>
      </c>
      <c r="AI55" s="2">
        <f t="shared" si="12"/>
        <v>0.1865320255566984</v>
      </c>
    </row>
    <row r="56" spans="2:50" x14ac:dyDescent="0.25">
      <c r="B56" t="s">
        <v>48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>
        <f t="shared" si="12"/>
        <v>0.31532430506058445</v>
      </c>
      <c r="AA56" s="2">
        <f t="shared" si="12"/>
        <v>0.35089820359281437</v>
      </c>
      <c r="AB56" s="2">
        <f t="shared" si="12"/>
        <v>0.31534521318808167</v>
      </c>
      <c r="AC56" s="2">
        <f t="shared" si="12"/>
        <v>1.4718133851707923E-2</v>
      </c>
      <c r="AD56" s="2">
        <f t="shared" si="12"/>
        <v>0.57080844432901723</v>
      </c>
      <c r="AE56" s="2">
        <f t="shared" si="12"/>
        <v>0.39570647931303676</v>
      </c>
      <c r="AF56" s="2">
        <f t="shared" si="12"/>
        <v>0.43751207262893566</v>
      </c>
      <c r="AG56" s="2">
        <f t="shared" si="12"/>
        <v>0.28808755985536988</v>
      </c>
      <c r="AH56" s="2">
        <f t="shared" si="12"/>
        <v>0.23868229587712214</v>
      </c>
      <c r="AI56" s="2">
        <f t="shared" si="12"/>
        <v>0.31072254044819619</v>
      </c>
    </row>
    <row r="58" spans="2:50" x14ac:dyDescent="0.25">
      <c r="B58" t="s">
        <v>23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>
        <f t="shared" ref="Z58" si="13">Z43/Z37</f>
        <v>0.16182032996455556</v>
      </c>
      <c r="AA58" s="2">
        <f>AA43/AA37</f>
        <v>0.20407604082592987</v>
      </c>
      <c r="AB58" s="2">
        <f t="shared" ref="AB58:AC58" si="14">AB43/AB37</f>
        <v>0.23840348137657211</v>
      </c>
      <c r="AC58" s="2">
        <f t="shared" si="14"/>
        <v>0.38315807495898796</v>
      </c>
      <c r="AD58" s="2">
        <f>AD43/AD37</f>
        <v>0.2720898347038993</v>
      </c>
      <c r="AE58" s="2">
        <f>AE43/AE37</f>
        <v>0.26697853165919827</v>
      </c>
      <c r="AF58" s="2">
        <f>AF43/AF37</f>
        <v>0.2922176754365684</v>
      </c>
      <c r="AG58" s="2">
        <f>AG43/AG37</f>
        <v>0.30847401833394839</v>
      </c>
      <c r="AH58" s="2">
        <f t="shared" ref="AH58:AI58" si="15">AH43/AH37</f>
        <v>0.30030330708577546</v>
      </c>
      <c r="AI58" s="2">
        <f t="shared" si="15"/>
        <v>0.33375603666349091</v>
      </c>
    </row>
    <row r="59" spans="2:50" x14ac:dyDescent="0.25">
      <c r="B59" t="s">
        <v>25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>
        <f t="shared" ref="Z59" si="16">Z47/Z37</f>
        <v>-0.20831881273958983</v>
      </c>
      <c r="AA59" s="2">
        <f>AA47/AA37</f>
        <v>-6.8881099095503773E-2</v>
      </c>
      <c r="AB59" s="2">
        <f t="shared" ref="AB59:AC59" si="17">AB47/AB37</f>
        <v>-2.9069978574281858E-2</v>
      </c>
      <c r="AC59" s="2">
        <f t="shared" si="17"/>
        <v>0.18292676535177754</v>
      </c>
      <c r="AD59" s="2">
        <f>AD47/AD37</f>
        <v>-5.8493164550750001E-2</v>
      </c>
      <c r="AE59" s="2">
        <f>AE47/AE37</f>
        <v>-8.7303921324287017E-3</v>
      </c>
      <c r="AF59" s="2">
        <f>AF47/AF37</f>
        <v>1.5116135694579204E-2</v>
      </c>
      <c r="AG59" s="2">
        <f>AG47/AG37</f>
        <v>0.11255100085767594</v>
      </c>
      <c r="AH59" s="2">
        <f t="shared" ref="AH59:AI59" si="18">AH47/AH37</f>
        <v>9.6118255145435622E-2</v>
      </c>
      <c r="AI59" s="2">
        <f t="shared" si="18"/>
        <v>0.17105592918858795</v>
      </c>
    </row>
    <row r="62" spans="2:50" x14ac:dyDescent="0.25">
      <c r="B62" t="s">
        <v>3</v>
      </c>
      <c r="C62">
        <f>91.596-C63</f>
        <v>65.736000000000004</v>
      </c>
    </row>
    <row r="63" spans="2:50" x14ac:dyDescent="0.25">
      <c r="B63" t="s">
        <v>119</v>
      </c>
      <c r="C63">
        <v>25.86</v>
      </c>
    </row>
    <row r="64" spans="2:50" x14ac:dyDescent="0.25">
      <c r="B64" t="s">
        <v>120</v>
      </c>
      <c r="C64">
        <v>15.702999999999999</v>
      </c>
    </row>
    <row r="65" spans="2:2" x14ac:dyDescent="0.25">
      <c r="B65" t="s">
        <v>113</v>
      </c>
    </row>
    <row r="66" spans="2:2" x14ac:dyDescent="0.25">
      <c r="B66" t="s">
        <v>121</v>
      </c>
    </row>
    <row r="67" spans="2:2" x14ac:dyDescent="0.25">
      <c r="B67" t="s">
        <v>117</v>
      </c>
    </row>
    <row r="68" spans="2:2" x14ac:dyDescent="0.25">
      <c r="B68" t="s">
        <v>114</v>
      </c>
    </row>
    <row r="69" spans="2:2" x14ac:dyDescent="0.25">
      <c r="B69" t="s">
        <v>115</v>
      </c>
    </row>
    <row r="70" spans="2:2" x14ac:dyDescent="0.25">
      <c r="B70" t="s">
        <v>116</v>
      </c>
    </row>
    <row r="71" spans="2:2" x14ac:dyDescent="0.25">
      <c r="B71" t="s">
        <v>118</v>
      </c>
    </row>
    <row r="72" spans="2:2" x14ac:dyDescent="0.25">
      <c r="B72" t="s">
        <v>119</v>
      </c>
    </row>
    <row r="73" spans="2:2" x14ac:dyDescent="0.25">
      <c r="B73" t="s">
        <v>121</v>
      </c>
    </row>
    <row r="75" spans="2:2" x14ac:dyDescent="0.25">
      <c r="B75" s="12" t="s">
        <v>122</v>
      </c>
    </row>
    <row r="76" spans="2:2" x14ac:dyDescent="0.25">
      <c r="B76" t="s">
        <v>93</v>
      </c>
    </row>
    <row r="77" spans="2:2" x14ac:dyDescent="0.25">
      <c r="B77" t="s">
        <v>94</v>
      </c>
    </row>
    <row r="78" spans="2:2" x14ac:dyDescent="0.25">
      <c r="B78" t="s">
        <v>95</v>
      </c>
    </row>
    <row r="79" spans="2:2" x14ac:dyDescent="0.25">
      <c r="B79" t="s">
        <v>92</v>
      </c>
    </row>
    <row r="80" spans="2:2" x14ac:dyDescent="0.25">
      <c r="B80" t="s">
        <v>91</v>
      </c>
    </row>
    <row r="81" spans="2:2" x14ac:dyDescent="0.25">
      <c r="B81" t="s">
        <v>90</v>
      </c>
    </row>
    <row r="82" spans="2:2" x14ac:dyDescent="0.25">
      <c r="B82" t="s">
        <v>89</v>
      </c>
    </row>
    <row r="83" spans="2:2" x14ac:dyDescent="0.25">
      <c r="B83" t="s">
        <v>88</v>
      </c>
    </row>
    <row r="84" spans="2:2" x14ac:dyDescent="0.25">
      <c r="B84" t="s">
        <v>87</v>
      </c>
    </row>
    <row r="85" spans="2:2" x14ac:dyDescent="0.25">
      <c r="B85" t="s">
        <v>86</v>
      </c>
    </row>
    <row r="86" spans="2:2" x14ac:dyDescent="0.25">
      <c r="B86" t="s">
        <v>85</v>
      </c>
    </row>
    <row r="87" spans="2:2" x14ac:dyDescent="0.25">
      <c r="B87" t="s">
        <v>84</v>
      </c>
    </row>
    <row r="88" spans="2:2" x14ac:dyDescent="0.25">
      <c r="B88" t="s">
        <v>83</v>
      </c>
    </row>
    <row r="89" spans="2:2" x14ac:dyDescent="0.25">
      <c r="B89" t="s">
        <v>82</v>
      </c>
    </row>
    <row r="90" spans="2:2" x14ac:dyDescent="0.25">
      <c r="B90" t="s">
        <v>81</v>
      </c>
    </row>
    <row r="91" spans="2:2" x14ac:dyDescent="0.25">
      <c r="B91" t="s">
        <v>80</v>
      </c>
    </row>
    <row r="92" spans="2:2" x14ac:dyDescent="0.25">
      <c r="B92" t="s">
        <v>79</v>
      </c>
    </row>
    <row r="93" spans="2:2" x14ac:dyDescent="0.25">
      <c r="B93" t="s">
        <v>78</v>
      </c>
    </row>
    <row r="94" spans="2:2" x14ac:dyDescent="0.25">
      <c r="B94" t="s">
        <v>77</v>
      </c>
    </row>
    <row r="95" spans="2:2" x14ac:dyDescent="0.25">
      <c r="B95" t="s">
        <v>76</v>
      </c>
    </row>
    <row r="96" spans="2:2" x14ac:dyDescent="0.25">
      <c r="B96" t="s">
        <v>75</v>
      </c>
    </row>
    <row r="97" spans="2:2" x14ac:dyDescent="0.25">
      <c r="B97" t="s">
        <v>74</v>
      </c>
    </row>
    <row r="98" spans="2:2" x14ac:dyDescent="0.25">
      <c r="B98" t="s">
        <v>73</v>
      </c>
    </row>
    <row r="99" spans="2:2" x14ac:dyDescent="0.25">
      <c r="B99" t="s">
        <v>7</v>
      </c>
    </row>
    <row r="100" spans="2:2" x14ac:dyDescent="0.25">
      <c r="B100" t="s">
        <v>8</v>
      </c>
    </row>
    <row r="101" spans="2:2" x14ac:dyDescent="0.25">
      <c r="B101" t="s">
        <v>9</v>
      </c>
    </row>
    <row r="102" spans="2:2" x14ac:dyDescent="0.25">
      <c r="B102" t="s">
        <v>37</v>
      </c>
    </row>
    <row r="103" spans="2:2" x14ac:dyDescent="0.25">
      <c r="B103" t="s">
        <v>10</v>
      </c>
    </row>
    <row r="104" spans="2:2" x14ac:dyDescent="0.25">
      <c r="B104" t="s">
        <v>11</v>
      </c>
    </row>
    <row r="105" spans="2:2" x14ac:dyDescent="0.25">
      <c r="B105" t="s">
        <v>12</v>
      </c>
    </row>
    <row r="106" spans="2:2" x14ac:dyDescent="0.25">
      <c r="B106" t="s">
        <v>13</v>
      </c>
    </row>
    <row r="107" spans="2:2" x14ac:dyDescent="0.25">
      <c r="B107" t="s">
        <v>14</v>
      </c>
    </row>
    <row r="108" spans="2:2" x14ac:dyDescent="0.25">
      <c r="B108" t="s">
        <v>15</v>
      </c>
    </row>
  </sheetData>
  <hyperlinks>
    <hyperlink ref="AE2" r:id="rId1" xr:uid="{1FAF2979-6CF6-6744-A115-04A73A693658}"/>
    <hyperlink ref="AG2" r:id="rId2" xr:uid="{B4460851-C963-AB4A-B74B-B1543837C523}"/>
    <hyperlink ref="AI2" r:id="rId3" xr:uid="{27D2C943-0735-7A4F-B963-EB4B8E1539BC}"/>
    <hyperlink ref="AH2" r:id="rId4" xr:uid="{BAA97FB5-CBF8-234C-9C9D-BEE8555D357E}"/>
    <hyperlink ref="AD2" r:id="rId5" xr:uid="{AA46C004-351A-B148-8189-3893B1839AE1}"/>
    <hyperlink ref="AC2" r:id="rId6" xr:uid="{474162AE-A699-1E48-A739-CFC4950119C5}"/>
    <hyperlink ref="AB2" r:id="rId7" xr:uid="{C3C3D541-4922-1E45-80F1-A0BDF8193A40}"/>
    <hyperlink ref="I2" r:id="rId8" display="Q424" xr:uid="{23BABA5E-3B73-2140-BE4D-3B2D1807894E}"/>
    <hyperlink ref="H2" r:id="rId9" display="Q324" xr:uid="{46F02845-6A11-E14C-89DB-90C9E1AE7248}"/>
    <hyperlink ref="M2" r:id="rId10" display="Q424" xr:uid="{D07F38D8-C2F0-1747-B94F-B6E81665FAB0}"/>
    <hyperlink ref="L2" r:id="rId11" display="Q324" xr:uid="{D56F5B68-0CBB-4E4B-9734-DBEA10A799D8}"/>
    <hyperlink ref="Q2" r:id="rId12" display="Q424" xr:uid="{481602D4-2691-E249-ABB4-DA56016D9CF0}"/>
    <hyperlink ref="P2" r:id="rId13" display="Q324" xr:uid="{70B3A524-CA7B-374A-9E62-985AEBEDE01A}"/>
    <hyperlink ref="U2" r:id="rId14" display="Q424" xr:uid="{585182FE-B5FF-B340-A288-91545D352F05}"/>
    <hyperlink ref="T2" r:id="rId15" display="Q324" xr:uid="{738EDA3E-5CCB-854E-A25C-15796D2BA056}"/>
    <hyperlink ref="E2" r:id="rId16" display="Q424" xr:uid="{E19F3570-146D-654A-B04C-C8EA95F4DF4A}"/>
    <hyperlink ref="D2" r:id="rId17" display="Q324" xr:uid="{7AA6C1EA-0B58-5446-997B-A9869003E23C}"/>
    <hyperlink ref="C2" r:id="rId18" xr:uid="{A742DC59-185A-4340-AA1B-877B38C1C6EC}"/>
    <hyperlink ref="F2" r:id="rId19" display="https://www.sec.gov/Archives/edgar/data/1664703/000166470319000010/pressreleasedatedasofmay.htm" xr:uid="{40E64FDD-1B90-4141-AF50-57A9705CD8B1}"/>
    <hyperlink ref="G2" r:id="rId20" display="https://www.sec.gov/Archives/edgar/data/1664703/000166470319000020/bloomenergyq219sharehold.htm" xr:uid="{9D599FB4-50E6-4137-B88D-3DA003EA0297}"/>
    <hyperlink ref="J2" r:id="rId21" display="https://www.sec.gov/Archives/edgar/data/1664703/000166470320000036/ex991bloomenergyq120shar.htm" xr:uid="{35601B6B-41CB-4132-AA8D-E4440FEE9832}"/>
    <hyperlink ref="K2" r:id="rId22" display="https://www.sec.gov/Archives/edgar/data/1664703/000166470320000051/bloompressreleasedated.htm" xr:uid="{13B18958-A7B2-40C8-AC89-5411F6EECF53}"/>
    <hyperlink ref="N2" r:id="rId23" display="https://www.sec.gov/Archives/edgar/data/1664703/000166470321000041/ex991be1q21financialresults.htm" xr:uid="{2F211AE0-4E85-4961-8B85-59449EB8FD58}"/>
    <hyperlink ref="O2" r:id="rId24" display="https://www.sec.gov/Archives/edgar/data/1664703/000166470321000130/ex991be2q21financialresults.htm" xr:uid="{B0C432D3-B541-4D01-A728-D4D3324628DD}"/>
    <hyperlink ref="R2" r:id="rId25" display="https://www.sec.gov/Archives/edgar/data/1664703/000166470322000056/ex991_1q2022financialresul.htm" xr:uid="{9F57D1A1-B331-42F7-A4C9-657189CE6220}"/>
    <hyperlink ref="S2" r:id="rId26" display="https://www.sec.gov/Archives/edgar/data/1664703/000166470322000067/ex991_q22022financialresul.htm" xr:uid="{9CDB8055-5338-407C-9642-CDDF626B29D5}"/>
    <hyperlink ref="V2" r:id="rId27" display="https://www.sec.gov/Archives/edgar/data/1664703/000162828023016807/ex991_q12023financialresul.htm" xr:uid="{152A23FC-A65D-4D83-82DB-F3A71AF20AD2}"/>
    <hyperlink ref="W2" r:id="rId28" display="https://www.sec.gov/Archives/edgar/data/1664703/000162828023027206/ex991_q22023financialresul.htm" xr:uid="{034F672D-24D7-4910-8C48-8CA916CFF3E5}"/>
    <hyperlink ref="X2" r:id="rId29" display="https://www.sec.gov/Archives/edgar/data/1664703/000162828023037826/ex991_q32023financialresul.htm" xr:uid="{BEB4B0EA-832C-4685-8066-9285B696BE9D}"/>
    <hyperlink ref="Y2" r:id="rId30" display="https://www.sec.gov/Archives/edgar/data/1664703/000162828024005031/ex991_q42023financialresul.htm" xr:uid="{2CA0F2EF-2B4C-4C6F-B62B-8FFC8A3CF019}"/>
    <hyperlink ref="Z2" r:id="rId31" display="https://www.sec.gov/Archives/edgar/data/1664703/000162828024022195/ex991_q12024financialresul.htm" xr:uid="{16BFFBC5-548E-47A0-A128-0EB77A06A1EE}"/>
    <hyperlink ref="AA2" r:id="rId32" display="https://www.sec.gov/Archives/edgar/data/1664703/000162828024036108/ex991_q22024financialresul.htm" xr:uid="{B831AF90-CBEC-424D-BF0A-6B0C66957509}"/>
    <hyperlink ref="AF2" r:id="rId33" display="https://www.sec.gov/Archives/edgar/data/1664703/000162828025046745/ex991_q32025financialresul.htm" xr:uid="{86E07AD2-A9B1-4216-B6E4-70DBED65193E}"/>
    <hyperlink ref="C1" r:id="rId34" display="https://www.sec.gov/Archives/edgar/data/1664703/000162828018011710/bloomenergycorp6-30x1810q.htm" xr:uid="{07D46E88-50D7-4347-8B4C-28C251B987D4}"/>
    <hyperlink ref="D1" r:id="rId35" display="https://www.sec.gov/Archives/edgar/data/1664703/000162828018014294/a2018q310qbloomenergycorp.htm" xr:uid="{B3FA7D40-3ADD-44DB-BEED-F86B999FB338}"/>
    <hyperlink ref="E1" r:id="rId36" display="https://www.sec.gov/Archives/edgar/data/1664703/000166470319000008/a2018q410kbloomenergycorp.htm" xr:uid="{E6A8F29B-BC65-4560-B5B7-C23BAF0F052C}"/>
    <hyperlink ref="F1" r:id="rId37" display="https://www.sec.gov/Archives/edgar/data/1664703/000166470319000014/a2019q110qbloomenergycorp.htm" xr:uid="{27721836-F6F6-4D10-8C17-A2763FD5C0BF}"/>
    <hyperlink ref="G1" r:id="rId38" display="https://www.sec.gov/Archives/edgar/data/1664703/000166470319000025/a2019_q2x10qxbloomenergyv4.htm" xr:uid="{8734A325-3AD6-42DB-8734-21AA626468B9}"/>
    <hyperlink ref="H1" r:id="rId39" display="https://www.sec.gov/Archives/edgar/data/1664703/000166470319000040/a2019_q3x10qxbloomenergy.htm" xr:uid="{3691970F-267C-4116-B770-9E6725FEDCDB}"/>
    <hyperlink ref="I1" r:id="rId40" display="https://www.sec.gov/Archives/edgar/data/1664703/000166470320000013/a2019q410kbloom.htm" xr:uid="{51420E23-8C46-413B-B868-98DE1F4381F4}"/>
    <hyperlink ref="J1" r:id="rId41" display="https://www.sec.gov/Archives/edgar/data/1664703/000166470320000037/a2020q110qbloomd47.htm" xr:uid="{75E659BD-BBD4-401F-976D-34DBB87358BB}"/>
    <hyperlink ref="K1" r:id="rId42" display="https://www.sec.gov/Archives/edgar/data/1664703/000166470320000057/be-20200630.htm" xr:uid="{24FB3F61-6328-44A4-889E-4ED8C92F57B8}"/>
    <hyperlink ref="L1" r:id="rId43" display="https://www.sec.gov/Archives/edgar/data/1664703/000166470320000080/be-20200930.htm" xr:uid="{327EF0DF-317C-4191-92D2-C487AE204504}"/>
    <hyperlink ref="M1" r:id="rId44" display="https://www.sec.gov/Archives/edgar/data/1664703/000166470321000017/be-20201231.htm" xr:uid="{6EF26663-F04B-449E-9270-26E4B9AE719D}"/>
    <hyperlink ref="N1" r:id="rId45" display="https://www.sec.gov/Archives/edgar/data/1664703/000166470321000046/be-20210331.htm" xr:uid="{6B855EA7-555F-4829-ACD0-7E6DEBF942AB}"/>
    <hyperlink ref="O1" r:id="rId46" display="https://www.sec.gov/Archives/edgar/data/1664703/000166470321000135/be-20210630.htm" xr:uid="{603CC064-ECF4-4A7A-B829-38931A604DA9}"/>
    <hyperlink ref="P1" r:id="rId47" display="https://www.sec.gov/Archives/edgar/data/1664703/000166470321000172/be-20210930.htm" xr:uid="{8268B1E8-7BC7-42E7-9F89-E2243F3B8B65}"/>
    <hyperlink ref="Q1" r:id="rId48" display="https://www.sec.gov/Archives/edgar/data/1664703/000166470322000034/be-20211231.htm" xr:uid="{1EE137D7-B68A-46AD-B56B-5E5D02BEA78C}"/>
    <hyperlink ref="R1" r:id="rId49" display="https://www.sec.gov/Archives/edgar/data/1664703/000166470322000059/be-20220331.htm" xr:uid="{81D1B0AB-8DC8-4271-8441-F02CF6A14A13}"/>
    <hyperlink ref="S1" r:id="rId50" display="https://www.sec.gov/Archives/edgar/data/1664703/000166470322000068/be-20220630.htm" xr:uid="{0C18B066-6B56-44A9-8C2D-FCEC6A2EF4C2}"/>
    <hyperlink ref="T1" r:id="rId51" display="https://www.sec.gov/Archives/edgar/data/1664703/000162828022028193/be-20220930.htm" xr:uid="{8A153307-D18B-4C76-94F3-228079C34165}"/>
    <hyperlink ref="U1" r:id="rId52" display="https://www.sec.gov/Archives/edgar/data/1664703/000162828023004301/be-20221231.htm" xr:uid="{A291DDAC-D8F1-4955-9702-4222518994BF}"/>
    <hyperlink ref="V1" r:id="rId53" display="https://www.sec.gov/Archives/edgar/data/1664703/000162828023016818/be-20230331.htm" xr:uid="{6B67DCA8-5776-437B-BF4D-7EB903B0F55A}"/>
    <hyperlink ref="W1" r:id="rId54" display="https://www.sec.gov/Archives/edgar/data/1664703/000162828023027213/be-20230630.htm" xr:uid="{9F029597-F1C8-4B31-86C2-7A3DA45AB692}"/>
    <hyperlink ref="X1" r:id="rId55" display="https://www.sec.gov/Archives/edgar/data/1664703/000162828023037836/be-20230930.htm" xr:uid="{A38CA5BD-AC65-434F-81B0-75D4FD3F535B}"/>
    <hyperlink ref="Y1" r:id="rId56" display="https://www.sec.gov/Archives/edgar/data/1664703/000162828024005035/be-20231231.htm" xr:uid="{BC4322FC-21FF-4786-BD55-9D0390135467}"/>
    <hyperlink ref="Z1" r:id="rId57" display="https://www.sec.gov/Archives/edgar/data/1664703/000162828024022309/be-20240331.htm" xr:uid="{B1EE9AAB-3784-4A4E-A518-7FC3D86EFE12}"/>
    <hyperlink ref="AA1" r:id="rId58" display="https://www.sec.gov/Archives/edgar/data/1664703/000162828024036219/be-20240630.htm" xr:uid="{460C38AB-C93A-44E2-BAEA-CB37F4CBF5A0}"/>
    <hyperlink ref="AB1" r:id="rId59" display="https://www.sec.gov/Archives/edgar/data/1664703/000162828024046411/be-20240930.htm" xr:uid="{1A6B56CA-62FD-4DBC-AA75-5988412B68CF}"/>
    <hyperlink ref="AC1" r:id="rId60" display="https://www.sec.gov/Archives/edgar/data/1664703/000162828025008747/be-20241231.htm" xr:uid="{D8C09D67-C675-471D-8CEF-99CADB71950B}"/>
    <hyperlink ref="AD1" r:id="rId61" display="https://www.sec.gov/Archives/edgar/data/1664703/000162828025021160/be-20250331.htm" xr:uid="{7716CF89-E53F-4989-8ECF-3801A4CEFF02}"/>
    <hyperlink ref="AE1" r:id="rId62" display="https://www.sec.gov/Archives/edgar/data/1664703/000162828025037074/be-20250630.htm" xr:uid="{4BD674A1-F4C1-42FE-926E-38B51695F690}"/>
    <hyperlink ref="AF1" r:id="rId63" display="https://www.sec.gov/Archives/edgar/data/1664703/000162828025046844/be-20250930.htm" xr:uid="{882048DA-48A7-459C-8B54-874BFDD5734E}"/>
    <hyperlink ref="AG1" r:id="rId64" display="https://www.sec.gov/Archives/edgar/data/1664703/000162828026006516/be-20251231.htm" xr:uid="{3029142E-CDC2-4817-B9D7-63625BE13BF0}"/>
    <hyperlink ref="AH1" r:id="rId65" display="https://www.sec.gov/Archives/edgar/data/1664703/000162828026028021/be-20260331.htm" xr:uid="{6081357D-DE53-43FE-AB8F-35A4E9B5737B}"/>
    <hyperlink ref="AI1" r:id="rId66" display="https://www.sec.gov/Archives/edgar/data/1664703/000162828026050247/be-20260630.htm" xr:uid="{FA3CAEF7-13CC-4C8C-82AA-1DB96504733B}"/>
  </hyperlinks>
  <pageMargins left="0.7" right="0.7" top="0.75" bottom="0.75" header="0.3" footer="0.3"/>
  <drawing r:id="rId67"/>
  <legacyDrawing r:id="rId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Dillon Walton</dc:creator>
  <cp:lastModifiedBy>Dillon Walton</cp:lastModifiedBy>
  <dcterms:created xsi:type="dcterms:W3CDTF">2026-08-25T02:23:21Z</dcterms:created>
  <dcterms:modified xsi:type="dcterms:W3CDTF">2026-09-16T18:14:02Z</dcterms:modified>
</cp:coreProperties>
</file>