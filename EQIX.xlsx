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models\"/>
    </mc:Choice>
  </mc:AlternateContent>
  <xr:revisionPtr revIDLastSave="0" documentId="13_ncr:1_{B647F388-5055-4320-9992-E8479AECAC70}" xr6:coauthVersionLast="47" xr6:coauthVersionMax="47" xr10:uidLastSave="{00000000-0000-0000-0000-000000000000}"/>
  <bookViews>
    <workbookView xWindow="40020" yWindow="3405" windowWidth="28800" windowHeight="15345" activeTab="1" xr2:uid="{00000000-000D-0000-FFFF-FFFF00000000}"/>
  </bookViews>
  <sheets>
    <sheet name="Main" sheetId="1" r:id="rId1"/>
    <sheet name="Model" sheetId="2" r:id="rId2"/>
    <sheet name="Data Cent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" i="2" l="1"/>
  <c r="Z7" i="2"/>
  <c r="Y7" i="2"/>
  <c r="AB7" i="2"/>
  <c r="Y39" i="2"/>
  <c r="Z39" i="2"/>
  <c r="AA39" i="2"/>
  <c r="AB39" i="2"/>
  <c r="X39" i="2"/>
  <c r="Y30" i="2"/>
  <c r="Y32" i="2" s="1"/>
  <c r="Y46" i="2" s="1"/>
  <c r="Z30" i="2"/>
  <c r="Z32" i="2" s="1"/>
  <c r="X30" i="2"/>
  <c r="X32" i="2" s="1"/>
  <c r="AA30" i="2"/>
  <c r="AA32" i="2" s="1"/>
  <c r="AB30" i="2"/>
  <c r="AB32" i="2" s="1"/>
  <c r="H8" i="1"/>
  <c r="H7" i="1"/>
  <c r="H6" i="1"/>
  <c r="I3" i="1"/>
  <c r="H5" i="1"/>
  <c r="Y40" i="2" l="1"/>
  <c r="Y47" i="2" s="1"/>
  <c r="Z40" i="2"/>
  <c r="Z47" i="2" s="1"/>
  <c r="AB40" i="2"/>
  <c r="AB47" i="2" s="1"/>
  <c r="AB46" i="2"/>
  <c r="Z46" i="2"/>
  <c r="X40" i="2"/>
  <c r="X47" i="2" s="1"/>
  <c r="AA40" i="2"/>
  <c r="AA47" i="2" s="1"/>
  <c r="X46" i="2"/>
  <c r="AA4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Dillon Walton</author>
  </authors>
  <commentList>
    <comment ref="C4" authorId="0" shapeId="0" xr:uid="{CD69189F-81C9-5040-9A9F-B40E4AC14CE3}">
      <text>
        <r>
          <rPr>
            <b/>
            <sz val="10"/>
            <color rgb="FF000000"/>
            <rFont val="Tahoma"/>
            <family val="2"/>
          </rPr>
          <t>Dillon Walton: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Since 2015</t>
        </r>
      </text>
    </comment>
  </commentList>
</comments>
</file>

<file path=xl/sharedStrings.xml><?xml version="1.0" encoding="utf-8"?>
<sst xmlns="http://schemas.openxmlformats.org/spreadsheetml/2006/main" count="125" uniqueCount="117">
  <si>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</si>
  <si>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</si>
  <si>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</si>
  <si>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</si>
  <si>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</si>
  <si>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</si>
  <si>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</si>
  <si>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</si>
  <si>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</si>
  <si>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</si>
  <si>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</si>
  <si>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</si>
  <si>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</si>
  <si>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</si>
  <si>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</si>
  <si>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</si>
  <si>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</si>
  <si>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</si>
  <si>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</si>
  <si>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</si>
  <si>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</si>
  <si>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</si>
  <si>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</si>
  <si>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</si>
  <si>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Q126</t>
  </si>
  <si>
    <t>Q226</t>
  </si>
  <si>
    <t>Q326</t>
  </si>
  <si>
    <t>Q426</t>
  </si>
  <si>
    <t>Revenue</t>
  </si>
  <si>
    <t>Main</t>
  </si>
  <si>
    <t>S/O</t>
  </si>
  <si>
    <t>Price</t>
  </si>
  <si>
    <t>Mkt Cap</t>
  </si>
  <si>
    <t>Debt</t>
  </si>
  <si>
    <t>Cash</t>
  </si>
  <si>
    <t>EV</t>
  </si>
  <si>
    <t>HQ</t>
  </si>
  <si>
    <t>Redwood, CA</t>
  </si>
  <si>
    <t>CEO</t>
  </si>
  <si>
    <t>Adaire Fox-Martin</t>
  </si>
  <si>
    <t>Fabric Geo Zones</t>
  </si>
  <si>
    <t>Divisions</t>
  </si>
  <si>
    <t>Description</t>
  </si>
  <si>
    <t>Digital Interconnection</t>
  </si>
  <si>
    <t>Product</t>
  </si>
  <si>
    <t>Fabric Intelligence</t>
  </si>
  <si>
    <t>Distributed AI Hub</t>
  </si>
  <si>
    <t>Software defined network, 77 metros global</t>
  </si>
  <si>
    <t>Premium</t>
  </si>
  <si>
    <t>Unlimited Ports</t>
  </si>
  <si>
    <t>Unlimited Ports Plus</t>
  </si>
  <si>
    <t xml:space="preserve"> </t>
  </si>
  <si>
    <t>Standard Virtual Circuits</t>
  </si>
  <si>
    <t>Digital Infrastructure</t>
  </si>
  <si>
    <t>Data Centers</t>
  </si>
  <si>
    <t>Native data sovereignty</t>
  </si>
  <si>
    <t>CPO</t>
  </si>
  <si>
    <t>Chris Audie</t>
  </si>
  <si>
    <t>EVP, Global Markets</t>
  </si>
  <si>
    <t>Bruce Owen</t>
  </si>
  <si>
    <t>Americas</t>
  </si>
  <si>
    <t>EMEA</t>
  </si>
  <si>
    <t>APAC</t>
  </si>
  <si>
    <t>Total headcount</t>
  </si>
  <si>
    <t>Recurring</t>
  </si>
  <si>
    <t>Non-Recurring</t>
  </si>
  <si>
    <t>Cost of Rev</t>
  </si>
  <si>
    <t>Gross profit</t>
  </si>
  <si>
    <t>G&amp;A</t>
  </si>
  <si>
    <t>S&amp;M</t>
  </si>
  <si>
    <t>Restructuring / Exit charges</t>
  </si>
  <si>
    <t>Transaction costs</t>
  </si>
  <si>
    <t>Impairment charges</t>
  </si>
  <si>
    <t>Opex</t>
  </si>
  <si>
    <t>Operating Income</t>
  </si>
  <si>
    <t>Gross Margin</t>
  </si>
  <si>
    <t>Operating Margin</t>
  </si>
  <si>
    <t>(Gain) loss on assets</t>
  </si>
  <si>
    <t>ST Investments</t>
  </si>
  <si>
    <t>AR</t>
  </si>
  <si>
    <t>Other</t>
  </si>
  <si>
    <t>PPE</t>
  </si>
  <si>
    <t>Operating Lease ROU</t>
  </si>
  <si>
    <t>Goodwill</t>
  </si>
  <si>
    <t>Intangible</t>
  </si>
  <si>
    <t>Assets</t>
  </si>
  <si>
    <t>AP</t>
  </si>
  <si>
    <t>Accrued PPE</t>
  </si>
  <si>
    <t>Current Operating Lease</t>
  </si>
  <si>
    <t>Current Finance Lease</t>
  </si>
  <si>
    <t>Current Mortgage + Loans</t>
  </si>
  <si>
    <t>Current senior notes</t>
  </si>
  <si>
    <t>Current Liabilities</t>
  </si>
  <si>
    <t>Current Assets</t>
  </si>
  <si>
    <t>Colocation</t>
  </si>
  <si>
    <t>Interconnection</t>
  </si>
  <si>
    <t>Managed Infrastructure</t>
  </si>
  <si>
    <t>Recurring revenues</t>
  </si>
  <si>
    <t>Non-recurring revenues</t>
  </si>
  <si>
    <t>Founded</t>
  </si>
  <si>
    <t>Tax Classification</t>
  </si>
  <si>
    <t>REIT</t>
  </si>
  <si>
    <t>Enterprise</t>
  </si>
  <si>
    <t>Colocations</t>
  </si>
  <si>
    <t>Company owns building, power and cooling -&gt; customers rent space + bring servers</t>
  </si>
  <si>
    <t>Personal on prem, used internally</t>
  </si>
  <si>
    <t>Hyperscale</t>
  </si>
  <si>
    <t>Managed services / hosted dcs</t>
  </si>
  <si>
    <t>Edge</t>
  </si>
  <si>
    <t>Small facilities to reduce latency</t>
  </si>
  <si>
    <t>Type</t>
  </si>
  <si>
    <t>Reliability</t>
  </si>
  <si>
    <t>Tier I</t>
  </si>
  <si>
    <t>Tier II</t>
  </si>
  <si>
    <t>Tier III</t>
  </si>
  <si>
    <t>Tier IV</t>
  </si>
  <si>
    <t>Mostly through redundancy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</si>
</sst>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u/>
      <sz val="12"/>
      <color rgb="FF0563C1"/>
      <name val="Aptos Narrow"/>
    </font>
    <font>
      <u/>
      <sz val="12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scheme val="minor"/>
    </font>
    <font>
      <b/>
      <sz val="12"/>
      <color theme="1"/>
      <name val="Aptos Narrow"/>
      <scheme val="minor"/>
    </font>
    <font>
      <b/>
      <sz val="12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1"/>
    <xf numFmtId="4" fontId="0" fillId="0" borderId="0" xfId="0" applyNumberFormat="1"/>
    <xf numFmtId="3" fontId="0" fillId="0" borderId="0" xfId="0" applyNumberFormat="1"/>
    <xf numFmtId="14" fontId="0" fillId="0" borderId="0" xfId="0" applyNumberFormat="1"/>
    <xf numFmtId="3" fontId="4" fillId="0" borderId="0" xfId="0" applyNumberFormat="1" applyFont="1"/>
    <xf numFmtId="9" fontId="0" fillId="0" borderId="0" xfId="2" applyFont="1"/>
    <xf numFmtId="9" fontId="0" fillId="0" borderId="0" xfId="0" applyNumberFormat="1"/>
    <xf numFmtId="0" fontId="5" fillId="0" borderId="0" xfId="0" applyFont="1"/>
    <xf numFmtId="3" fontId="5" fillId="0" borderId="0" xfId="0" applyNumberFormat="1" applyFont="1"/>
    <xf numFmtId="3" fontId="6" fillId="0" borderId="0" xfId="0" applyNumberFormat="1" applyFont="1"/>
    <xf numFmtId="15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9" fillId="0" borderId="1" xfId="0" applyFont="1" applyBorder="1"/>
    <xf numFmtId="0" fontId="9" fillId="0" borderId="2" xfId="0" applyFont="1" applyBorder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127000</xdr:rowOff>
    </xdr:from>
    <xdr:to>
      <xdr:col>28</xdr:col>
      <xdr:colOff>25400</xdr:colOff>
      <xdr:row>92</xdr:row>
      <xdr:rowOff>25400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962108A-CB18-0ED8-ED13-2FC77451B386}"/>
            </a:ext>
          </a:extLst>
        </xdr:cNvPr>
        <xdr:cNvCxnSpPr/>
      </xdr:nvCxnSpPr>
      <xdr:spPr>
        <a:xfrm>
          <a:off x="24066500" y="127000"/>
          <a:ext cx="0" cy="179832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nvestor.equinix.com/news-events/press-releases/detail/11/equinix-reports-fourth-quarter-and-full-year-2021-results/" TargetMode="External"/><Relationship Id="rId13" Type="http://schemas.openxmlformats.org/officeDocument/2006/relationships/hyperlink" Target="https://investor.equinix.com/news-events/press-releases/detail/1000/equinix-reports-first-quarter-2023-results/" TargetMode="External"/><Relationship Id="rId18" Type="http://schemas.openxmlformats.org/officeDocument/2006/relationships/hyperlink" Target="https://investor.equinix.com/news-events/press-releases/detail/1047/equinix-reports-second-quarter-2024-results/" TargetMode="External"/><Relationship Id="rId26" Type="http://schemas.openxmlformats.org/officeDocument/2006/relationships/hyperlink" Target="https://investor.equinix.com/news-events/press-releases/detail/1114/equinix-reports-second-quarter-results-raises-2026/" TargetMode="External"/><Relationship Id="rId3" Type="http://schemas.openxmlformats.org/officeDocument/2006/relationships/hyperlink" Target="https://investor.equinix.com/news-events/press-releases/detail/85/equinix-reports-third-quarter-2020-results/" TargetMode="External"/><Relationship Id="rId21" Type="http://schemas.openxmlformats.org/officeDocument/2006/relationships/hyperlink" Target="https://investor.equinix.com/news-events/press-releases/detail/1068/equinix-reports-first-quarter-2025-results/" TargetMode="External"/><Relationship Id="rId7" Type="http://schemas.openxmlformats.org/officeDocument/2006/relationships/hyperlink" Target="https://investor.equinix.com/news-events/press-releases/detail/28/equinix-reports-third-quarter-2021-results/" TargetMode="External"/><Relationship Id="rId12" Type="http://schemas.openxmlformats.org/officeDocument/2006/relationships/hyperlink" Target="https://investor.equinix.com/news-events/press-releases/detail/991/equinix-reports-fourth-quarter-and-full-year-2022-results/" TargetMode="External"/><Relationship Id="rId17" Type="http://schemas.openxmlformats.org/officeDocument/2006/relationships/hyperlink" Target="https://investor.equinix.com/news-events/press-releases/detail/1038/equinix-reports-first-quarter-2024-results/" TargetMode="External"/><Relationship Id="rId25" Type="http://schemas.openxmlformats.org/officeDocument/2006/relationships/hyperlink" Target="https://investor.equinix.com/news-events/press-releases/detail/1107/equinix-reports-first-quarter-results-and-raises-full-year/" TargetMode="External"/><Relationship Id="rId2" Type="http://schemas.openxmlformats.org/officeDocument/2006/relationships/hyperlink" Target="https://investor.equinix.com/news-events/press-releases/detail/100/equinix-reports-second-quarter-2020-results/" TargetMode="External"/><Relationship Id="rId16" Type="http://schemas.openxmlformats.org/officeDocument/2006/relationships/hyperlink" Target="https://investor.equinix.com/news-events/press-releases/detail/1030/equinix-reports-fourth-quarter-and-full-year-2023-results/" TargetMode="External"/><Relationship Id="rId20" Type="http://schemas.openxmlformats.org/officeDocument/2006/relationships/hyperlink" Target="https://investor.equinix.com/news-events/press-releases/detail/1063/equinix-reports-strong-fourth-quarter-and-full-year-2024/" TargetMode="External"/><Relationship Id="rId1" Type="http://schemas.openxmlformats.org/officeDocument/2006/relationships/hyperlink" Target="https://investor.equinix.com/news-events/press-releases/detail/111/equinix-reports-first-quarter-2020-results/" TargetMode="External"/><Relationship Id="rId6" Type="http://schemas.openxmlformats.org/officeDocument/2006/relationships/hyperlink" Target="https://investor.equinix.com/news-events/press-releases/detail/44/equinix-reports-second-quarter-2021-results/" TargetMode="External"/><Relationship Id="rId11" Type="http://schemas.openxmlformats.org/officeDocument/2006/relationships/hyperlink" Target="https://investor.equinix.com/news-events/press-releases/detail/981/equinix-reports-third-quarter-2022-results/" TargetMode="External"/><Relationship Id="rId24" Type="http://schemas.openxmlformats.org/officeDocument/2006/relationships/hyperlink" Target="https://investor.equinix.com/news-events/press-releases/detail/1096/equinix-provides-robust-2026-outlook-driven-by-strong/" TargetMode="External"/><Relationship Id="rId5" Type="http://schemas.openxmlformats.org/officeDocument/2006/relationships/hyperlink" Target="https://investor.equinix.com/news-events/press-releases/detail/56/equinix-reports-first-quarter-2021-results/" TargetMode="External"/><Relationship Id="rId15" Type="http://schemas.openxmlformats.org/officeDocument/2006/relationships/hyperlink" Target="https://investor.equinix.com/news-events/press-releases/detail/1017/equinix-reports-third-quarter-2023-results/" TargetMode="External"/><Relationship Id="rId23" Type="http://schemas.openxmlformats.org/officeDocument/2006/relationships/hyperlink" Target="https://investor.equinix.com/news-events/press-releases/detail/1086/equinix-reports-strong-third-quarter-2025-results/" TargetMode="External"/><Relationship Id="rId10" Type="http://schemas.openxmlformats.org/officeDocument/2006/relationships/hyperlink" Target="https://investor.equinix.com/news-events/press-releases/detail/968/equinix-reports-second-quarter-2022-results/" TargetMode="External"/><Relationship Id="rId19" Type="http://schemas.openxmlformats.org/officeDocument/2006/relationships/hyperlink" Target="https://investor.equinix.com/news-events/press-releases/detail/1055/equinix-reports-third-quarter-2024-results/" TargetMode="External"/><Relationship Id="rId4" Type="http://schemas.openxmlformats.org/officeDocument/2006/relationships/hyperlink" Target="https://investor.equinix.com/news-events/press-releases/detail/69/equinix-reports-fourth-quarter-and-full-year-2020-results/" TargetMode="External"/><Relationship Id="rId9" Type="http://schemas.openxmlformats.org/officeDocument/2006/relationships/hyperlink" Target="https://investor.equinix.com/news-events/press-releases/detail/2/equinix-reports-first-quarter-2022-results/" TargetMode="External"/><Relationship Id="rId14" Type="http://schemas.openxmlformats.org/officeDocument/2006/relationships/hyperlink" Target="https://investor.equinix.com/news-events/press-releases/detail/1008/equinix-reports-second-quarter-2023-results/" TargetMode="External"/><Relationship Id="rId22" Type="http://schemas.openxmlformats.org/officeDocument/2006/relationships/hyperlink" Target="https://investor.equinix.com/news-events/press-releases/detail/1076/equinix-reports-second-quarter-2025-results/" TargetMode="External"/><Relationship Id="rId2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19"/>
  <sheetViews>
    <sheetView workbookViewId="0">
      <selection activeCell="G24" sqref="G24"/>
    </sheetView>
  </sheetViews>
  <sheetFormatPr defaultColWidth="11" defaultRowHeight="15.75" x14ac:dyDescent="0.25"/>
  <cols>
    <col min="2" max="2" width="20.625" customWidth="1"/>
  </cols>
  <sheetData>
    <row r="3" spans="2:9" x14ac:dyDescent="0.25">
      <c r="B3" t="s">
        <v>99</v>
      </c>
      <c r="C3" s="12">
        <v>35968</v>
      </c>
      <c r="G3" t="s">
        <v>31</v>
      </c>
      <c r="H3" s="3">
        <v>1037.72</v>
      </c>
      <c r="I3" s="5">
        <f ca="1">TODAY()</f>
        <v>46279</v>
      </c>
    </row>
    <row r="4" spans="2:9" x14ac:dyDescent="0.25">
      <c r="B4" t="s">
        <v>100</v>
      </c>
      <c r="C4" t="s">
        <v>101</v>
      </c>
      <c r="G4" t="s">
        <v>30</v>
      </c>
      <c r="H4">
        <v>98.671685999999994</v>
      </c>
      <c r="I4" t="s">
        <v>25</v>
      </c>
    </row>
    <row r="5" spans="2:9" x14ac:dyDescent="0.25">
      <c r="B5" t="s">
        <v>36</v>
      </c>
      <c r="C5" t="s">
        <v>37</v>
      </c>
      <c r="G5" t="s">
        <v>32</v>
      </c>
      <c r="H5" s="4">
        <f>H4*H3</f>
        <v>102393.58199592</v>
      </c>
    </row>
    <row r="6" spans="2:9" x14ac:dyDescent="0.25">
      <c r="B6" t="s">
        <v>38</v>
      </c>
      <c r="C6" t="s">
        <v>39</v>
      </c>
      <c r="G6" t="s">
        <v>34</v>
      </c>
      <c r="H6">
        <f>979+1245</f>
        <v>2224</v>
      </c>
      <c r="I6" t="s">
        <v>25</v>
      </c>
    </row>
    <row r="7" spans="2:9" x14ac:dyDescent="0.25">
      <c r="B7" t="s">
        <v>56</v>
      </c>
      <c r="C7" t="s">
        <v>57</v>
      </c>
      <c r="G7" t="s">
        <v>33</v>
      </c>
      <c r="H7">
        <f>176+9+1170+2104+11+18519</f>
        <v>21989</v>
      </c>
      <c r="I7" t="s">
        <v>25</v>
      </c>
    </row>
    <row r="8" spans="2:9" x14ac:dyDescent="0.25">
      <c r="B8" t="s">
        <v>58</v>
      </c>
      <c r="C8" t="s">
        <v>59</v>
      </c>
      <c r="G8" t="s">
        <v>35</v>
      </c>
      <c r="H8" s="4">
        <f>H5-H6+H7</f>
        <v>122158.58199592</v>
      </c>
      <c r="I8" t="s">
        <v>25</v>
      </c>
    </row>
    <row r="14" spans="2:9" x14ac:dyDescent="0.25">
      <c r="B14" t="s">
        <v>41</v>
      </c>
      <c r="C14" t="s">
        <v>44</v>
      </c>
      <c r="E14" t="s">
        <v>42</v>
      </c>
    </row>
    <row r="15" spans="2:9" x14ac:dyDescent="0.25">
      <c r="B15" t="s">
        <v>53</v>
      </c>
    </row>
    <row r="16" spans="2:9" x14ac:dyDescent="0.25">
      <c r="B16" t="s">
        <v>54</v>
      </c>
    </row>
    <row r="17" spans="2:5" x14ac:dyDescent="0.25">
      <c r="B17" t="s">
        <v>43</v>
      </c>
      <c r="C17" t="s">
        <v>45</v>
      </c>
      <c r="E17" t="s">
        <v>47</v>
      </c>
    </row>
    <row r="18" spans="2:5" x14ac:dyDescent="0.25">
      <c r="C18" t="s">
        <v>40</v>
      </c>
      <c r="E18" t="s">
        <v>55</v>
      </c>
    </row>
    <row r="19" spans="2:5" x14ac:dyDescent="0.25">
      <c r="C19" t="s">
        <v>46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72"/>
  <sheetViews>
    <sheetView tabSelected="1" workbookViewId="0">
      <pane xSplit="2" ySplit="2" topLeftCell="W3" activePane="bottomRight" state="frozen"/>
      <selection pane="topRight" activeCell="C1" sqref="C1"/>
      <selection pane="bottomLeft" activeCell="A3" sqref="A3"/>
      <selection pane="bottomRight" activeCell="AF11" sqref="AF11"/>
    </sheetView>
  </sheetViews>
  <sheetFormatPr defaultColWidth="11" defaultRowHeight="15.75" x14ac:dyDescent="0.25"/>
  <cols>
    <col min="2" max="2" width="23.5" bestFit="1" customWidth="1"/>
    <col min="24" max="24" width="10.375" customWidth="1"/>
  </cols>
  <sheetData>
    <row r="1" spans="1:48" x14ac:dyDescent="0.25">
      <c r="A1" s="2" t="s">
        <v>29</v>
      </c>
    </row>
    <row r="2" spans="1:48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t="s">
        <v>26</v>
      </c>
      <c r="AD2" t="s">
        <v>27</v>
      </c>
      <c r="AF2">
        <v>2020</v>
      </c>
      <c r="AG2">
        <v>2021</v>
      </c>
      <c r="AH2">
        <v>2022</v>
      </c>
      <c r="AI2">
        <v>2023</v>
      </c>
      <c r="AJ2">
        <v>2024</v>
      </c>
      <c r="AK2">
        <v>2025</v>
      </c>
      <c r="AL2">
        <v>2026</v>
      </c>
      <c r="AM2">
        <v>2027</v>
      </c>
      <c r="AN2">
        <v>2028</v>
      </c>
      <c r="AO2">
        <v>2029</v>
      </c>
      <c r="AP2">
        <v>2030</v>
      </c>
      <c r="AQ2">
        <v>2031</v>
      </c>
      <c r="AR2">
        <v>2032</v>
      </c>
      <c r="AS2">
        <v>2033</v>
      </c>
      <c r="AT2">
        <v>2034</v>
      </c>
      <c r="AU2">
        <v>2035</v>
      </c>
      <c r="AV2">
        <v>2036</v>
      </c>
    </row>
    <row r="3" spans="1:48" x14ac:dyDescent="0.2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48" x14ac:dyDescent="0.25">
      <c r="B4" t="s">
        <v>60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6"/>
      <c r="Y4" s="6"/>
      <c r="Z4" s="6">
        <v>5917</v>
      </c>
      <c r="AA4" s="6"/>
      <c r="AB4" s="6">
        <v>6009</v>
      </c>
    </row>
    <row r="5" spans="1:48" x14ac:dyDescent="0.25">
      <c r="B5" t="s">
        <v>61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6"/>
      <c r="Y5" s="6"/>
      <c r="Z5" s="6">
        <v>4706</v>
      </c>
      <c r="AA5" s="6"/>
      <c r="AB5" s="6">
        <v>4719</v>
      </c>
    </row>
    <row r="6" spans="1:48" x14ac:dyDescent="0.25">
      <c r="B6" t="s">
        <v>62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6"/>
      <c r="Y6" s="6"/>
      <c r="Z6" s="6">
        <v>3093</v>
      </c>
      <c r="AA6" s="6"/>
      <c r="AB6" s="6">
        <v>3203</v>
      </c>
    </row>
    <row r="7" spans="1:48" x14ac:dyDescent="0.25">
      <c r="B7" t="s">
        <v>63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6"/>
      <c r="Y7" s="6">
        <f t="shared" ref="Y7:AA7" si="0">SUM(Y4:Y6)</f>
        <v>0</v>
      </c>
      <c r="Z7" s="6">
        <f t="shared" si="0"/>
        <v>13716</v>
      </c>
      <c r="AA7" s="6">
        <f t="shared" si="0"/>
        <v>0</v>
      </c>
      <c r="AB7" s="6">
        <f>SUM(AB4:AB6)</f>
        <v>13931</v>
      </c>
    </row>
    <row r="8" spans="1:48" x14ac:dyDescent="0.25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6"/>
      <c r="Y8" s="6"/>
      <c r="Z8" s="6"/>
      <c r="AA8" s="6"/>
      <c r="AB8" s="6"/>
    </row>
    <row r="9" spans="1:48" x14ac:dyDescent="0.25">
      <c r="B9" t="s">
        <v>52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6"/>
      <c r="Y9" s="6"/>
      <c r="Z9" s="6"/>
      <c r="AA9" s="6"/>
      <c r="AB9" s="6"/>
    </row>
    <row r="10" spans="1:48" x14ac:dyDescent="0.25">
      <c r="B10" t="s">
        <v>51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6"/>
      <c r="Y10" s="6"/>
      <c r="Z10" s="6"/>
      <c r="AA10" s="6"/>
      <c r="AB10" s="6"/>
    </row>
    <row r="11" spans="1:48" x14ac:dyDescent="0.25">
      <c r="B11" t="s">
        <v>49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6"/>
      <c r="Y11" s="6"/>
      <c r="Z11" s="6"/>
      <c r="AA11" s="6"/>
      <c r="AB11" s="6"/>
    </row>
    <row r="12" spans="1:48" x14ac:dyDescent="0.25">
      <c r="B12" t="s">
        <v>50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6"/>
      <c r="Y12" s="6"/>
      <c r="Z12" s="6"/>
      <c r="AA12" s="6"/>
      <c r="AB12" s="6"/>
    </row>
    <row r="13" spans="1:48" x14ac:dyDescent="0.25">
      <c r="B13" t="s">
        <v>48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6"/>
      <c r="Y13" s="6"/>
      <c r="Z13" s="6"/>
      <c r="AA13" s="6"/>
      <c r="AB13" s="6"/>
    </row>
    <row r="14" spans="1:48" x14ac:dyDescent="0.25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6"/>
      <c r="Y14" s="6"/>
      <c r="Z14" s="6"/>
      <c r="AA14" s="6"/>
      <c r="AB14" s="6"/>
    </row>
    <row r="15" spans="1:48" x14ac:dyDescent="0.25">
      <c r="B15" t="s">
        <v>94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6"/>
      <c r="Y15" s="6"/>
      <c r="Z15" s="6"/>
      <c r="AA15" s="6"/>
      <c r="AB15" s="6"/>
    </row>
    <row r="16" spans="1:48" x14ac:dyDescent="0.25">
      <c r="B16" t="s">
        <v>95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6"/>
      <c r="Y16" s="6"/>
      <c r="Z16" s="6"/>
      <c r="AA16" s="6"/>
      <c r="AB16" s="6"/>
    </row>
    <row r="17" spans="2:28" x14ac:dyDescent="0.25">
      <c r="B17" t="s">
        <v>96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6"/>
      <c r="Y17" s="6"/>
      <c r="Z17" s="6"/>
      <c r="AA17" s="6"/>
      <c r="AB17" s="6"/>
    </row>
    <row r="18" spans="2:28" x14ac:dyDescent="0.25">
      <c r="B18" t="s">
        <v>80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6"/>
      <c r="Y18" s="6"/>
      <c r="Z18" s="6"/>
      <c r="AA18" s="6"/>
      <c r="AB18" s="6"/>
    </row>
    <row r="19" spans="2:28" x14ac:dyDescent="0.25">
      <c r="B19" t="s">
        <v>97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6"/>
      <c r="Y19" s="6"/>
      <c r="Z19" s="6"/>
      <c r="AA19" s="6"/>
      <c r="AB19" s="6"/>
    </row>
    <row r="20" spans="2:28" x14ac:dyDescent="0.25">
      <c r="B20" t="s">
        <v>98</v>
      </c>
    </row>
    <row r="22" spans="2:28" x14ac:dyDescent="0.25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6"/>
      <c r="Y22" s="6"/>
      <c r="Z22" s="6"/>
      <c r="AA22" s="6"/>
      <c r="AB22" s="6"/>
    </row>
    <row r="23" spans="2:28" x14ac:dyDescent="0.25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6"/>
      <c r="Y23" s="6"/>
      <c r="Z23" s="6"/>
      <c r="AA23" s="6"/>
      <c r="AB23" s="6"/>
    </row>
    <row r="24" spans="2:28" x14ac:dyDescent="0.25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6"/>
      <c r="Y24" s="6"/>
      <c r="Z24" s="6"/>
      <c r="AA24" s="6"/>
      <c r="AB24" s="6"/>
    </row>
    <row r="25" spans="2:28" x14ac:dyDescent="0.2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6"/>
      <c r="Y25" s="6"/>
      <c r="Z25" s="6"/>
      <c r="AA25" s="6"/>
      <c r="AB25" s="6"/>
    </row>
    <row r="26" spans="2:28" x14ac:dyDescent="0.25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6"/>
      <c r="Y26" s="6"/>
      <c r="Z26" s="6"/>
      <c r="AA26" s="6"/>
      <c r="AB26" s="6"/>
    </row>
    <row r="27" spans="2:28" x14ac:dyDescent="0.25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6"/>
      <c r="Y27" s="6"/>
      <c r="Z27" s="6"/>
      <c r="AA27" s="6"/>
      <c r="AB27" s="6"/>
    </row>
    <row r="28" spans="2:28" x14ac:dyDescent="0.25">
      <c r="B28" t="s">
        <v>64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6">
        <v>2143</v>
      </c>
      <c r="Y28" s="6"/>
      <c r="Z28" s="6"/>
      <c r="AA28" s="6">
        <v>2331</v>
      </c>
      <c r="AB28" s="6">
        <v>2377</v>
      </c>
    </row>
    <row r="29" spans="2:28" x14ac:dyDescent="0.25">
      <c r="B29" t="s">
        <v>65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6">
        <v>113</v>
      </c>
      <c r="Y29" s="6"/>
      <c r="Z29" s="6"/>
      <c r="AA29" s="6">
        <v>113</v>
      </c>
      <c r="AB29" s="6">
        <v>248</v>
      </c>
    </row>
    <row r="30" spans="2:28" x14ac:dyDescent="0.25">
      <c r="B30" s="9" t="s">
        <v>28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1">
        <f>SUM(X28:X29)</f>
        <v>2256</v>
      </c>
      <c r="Y30" s="11">
        <f t="shared" ref="Y30:Z30" si="1">SUM(Y28:Y29)</f>
        <v>0</v>
      </c>
      <c r="Z30" s="11">
        <f t="shared" si="1"/>
        <v>0</v>
      </c>
      <c r="AA30" s="11">
        <f>SUM(AA28:AA29)</f>
        <v>2444</v>
      </c>
      <c r="AB30" s="11">
        <f>SUM(AB28:AB29)</f>
        <v>2625</v>
      </c>
    </row>
    <row r="31" spans="2:28" x14ac:dyDescent="0.25">
      <c r="B31" t="s">
        <v>66</v>
      </c>
      <c r="X31" s="6">
        <v>1084</v>
      </c>
      <c r="Y31" s="6"/>
      <c r="Z31" s="6"/>
      <c r="AA31" s="6">
        <v>1186</v>
      </c>
      <c r="AB31" s="6">
        <v>1230</v>
      </c>
    </row>
    <row r="32" spans="2:28" x14ac:dyDescent="0.25">
      <c r="B32" s="9" t="s">
        <v>67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1">
        <f>X30-X31</f>
        <v>1172</v>
      </c>
      <c r="Y32" s="11">
        <f t="shared" ref="Y32:AB32" si="2">Y30-Y31</f>
        <v>0</v>
      </c>
      <c r="Z32" s="11">
        <f t="shared" si="2"/>
        <v>0</v>
      </c>
      <c r="AA32" s="11">
        <f t="shared" si="2"/>
        <v>1258</v>
      </c>
      <c r="AB32" s="11">
        <f t="shared" si="2"/>
        <v>1395</v>
      </c>
    </row>
    <row r="33" spans="2:28" x14ac:dyDescent="0.25">
      <c r="B33" t="s">
        <v>69</v>
      </c>
      <c r="X33" s="6">
        <v>221</v>
      </c>
      <c r="Y33" s="6"/>
      <c r="Z33" s="6"/>
      <c r="AA33" s="6">
        <v>241</v>
      </c>
      <c r="AB33" s="6">
        <v>239</v>
      </c>
    </row>
    <row r="34" spans="2:28" x14ac:dyDescent="0.25">
      <c r="B34" t="s">
        <v>68</v>
      </c>
      <c r="X34" s="6">
        <v>451</v>
      </c>
      <c r="Y34" s="6"/>
      <c r="Z34" s="6"/>
      <c r="AA34" s="6">
        <v>444</v>
      </c>
      <c r="AB34" s="6">
        <v>462</v>
      </c>
    </row>
    <row r="35" spans="2:28" x14ac:dyDescent="0.25">
      <c r="B35" t="s">
        <v>70</v>
      </c>
      <c r="X35" s="6">
        <v>2</v>
      </c>
      <c r="Y35" s="6"/>
      <c r="Z35" s="6"/>
      <c r="AA35" s="6">
        <v>6</v>
      </c>
      <c r="AB35" s="6">
        <v>6</v>
      </c>
    </row>
    <row r="36" spans="2:28" x14ac:dyDescent="0.25">
      <c r="B36" t="s">
        <v>71</v>
      </c>
      <c r="X36" s="6">
        <v>3</v>
      </c>
      <c r="Y36" s="6"/>
      <c r="Z36" s="6"/>
      <c r="AA36" s="6">
        <v>8</v>
      </c>
      <c r="AB36" s="6">
        <v>3</v>
      </c>
    </row>
    <row r="37" spans="2:28" x14ac:dyDescent="0.25">
      <c r="B37" t="s">
        <v>72</v>
      </c>
      <c r="X37" s="6">
        <v>1</v>
      </c>
      <c r="AA37" s="6">
        <v>2</v>
      </c>
      <c r="AB37" s="6">
        <v>17</v>
      </c>
    </row>
    <row r="38" spans="2:28" x14ac:dyDescent="0.25">
      <c r="B38" t="s">
        <v>77</v>
      </c>
      <c r="X38" s="6">
        <v>0</v>
      </c>
      <c r="AA38" s="6">
        <v>-20</v>
      </c>
      <c r="AB38" s="6">
        <v>3</v>
      </c>
    </row>
    <row r="39" spans="2:28" x14ac:dyDescent="0.25">
      <c r="B39" t="s">
        <v>73</v>
      </c>
      <c r="X39" s="4">
        <f>SUM(X33:X38)</f>
        <v>678</v>
      </c>
      <c r="Y39" s="4">
        <f t="shared" ref="Y39:AB39" si="3">SUM(Y33:Y38)</f>
        <v>0</v>
      </c>
      <c r="Z39" s="4">
        <f t="shared" si="3"/>
        <v>0</v>
      </c>
      <c r="AA39" s="4">
        <f t="shared" si="3"/>
        <v>681</v>
      </c>
      <c r="AB39" s="4">
        <f t="shared" si="3"/>
        <v>730</v>
      </c>
    </row>
    <row r="40" spans="2:28" x14ac:dyDescent="0.25">
      <c r="B40" s="9" t="s">
        <v>74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>
        <f>X32-X39</f>
        <v>494</v>
      </c>
      <c r="Y40" s="10">
        <f t="shared" ref="Y40:AB40" si="4">Y32-Y39</f>
        <v>0</v>
      </c>
      <c r="Z40" s="10">
        <f t="shared" si="4"/>
        <v>0</v>
      </c>
      <c r="AA40" s="10">
        <f t="shared" si="4"/>
        <v>577</v>
      </c>
      <c r="AB40" s="10">
        <f t="shared" si="4"/>
        <v>665</v>
      </c>
    </row>
    <row r="46" spans="2:28" x14ac:dyDescent="0.25">
      <c r="B46" t="s">
        <v>75</v>
      </c>
      <c r="X46" s="7">
        <f>X32/X30</f>
        <v>0.51950354609929073</v>
      </c>
      <c r="Y46" s="7" t="e">
        <f t="shared" ref="Y46:AB46" si="5">Y32/Y30</f>
        <v>#DIV/0!</v>
      </c>
      <c r="Z46" s="7" t="e">
        <f t="shared" si="5"/>
        <v>#DIV/0!</v>
      </c>
      <c r="AA46" s="7">
        <f t="shared" si="5"/>
        <v>0.51472995090016371</v>
      </c>
      <c r="AB46" s="7">
        <f t="shared" si="5"/>
        <v>0.53142857142857147</v>
      </c>
    </row>
    <row r="47" spans="2:28" x14ac:dyDescent="0.25">
      <c r="B47" t="s">
        <v>76</v>
      </c>
      <c r="X47" s="8">
        <f>X40/X30</f>
        <v>0.21897163120567376</v>
      </c>
      <c r="Y47" s="8" t="e">
        <f t="shared" ref="Y47:AB47" si="6">Y40/Y30</f>
        <v>#DIV/0!</v>
      </c>
      <c r="Z47" s="8" t="e">
        <f t="shared" si="6"/>
        <v>#DIV/0!</v>
      </c>
      <c r="AA47" s="8">
        <f t="shared" si="6"/>
        <v>0.23608837970540097</v>
      </c>
      <c r="AB47" s="8">
        <f t="shared" si="6"/>
        <v>0.25333333333333335</v>
      </c>
    </row>
    <row r="54" spans="2:2" x14ac:dyDescent="0.25">
      <c r="B54" t="s">
        <v>34</v>
      </c>
    </row>
    <row r="55" spans="2:2" x14ac:dyDescent="0.25">
      <c r="B55" t="s">
        <v>78</v>
      </c>
    </row>
    <row r="56" spans="2:2" x14ac:dyDescent="0.25">
      <c r="B56" t="s">
        <v>79</v>
      </c>
    </row>
    <row r="57" spans="2:2" x14ac:dyDescent="0.25">
      <c r="B57" t="s">
        <v>80</v>
      </c>
    </row>
    <row r="58" spans="2:2" x14ac:dyDescent="0.25">
      <c r="B58" t="s">
        <v>93</v>
      </c>
    </row>
    <row r="59" spans="2:2" x14ac:dyDescent="0.25">
      <c r="B59" t="s">
        <v>81</v>
      </c>
    </row>
    <row r="60" spans="2:2" x14ac:dyDescent="0.25">
      <c r="B60" t="s">
        <v>82</v>
      </c>
    </row>
    <row r="61" spans="2:2" x14ac:dyDescent="0.25">
      <c r="B61" t="s">
        <v>83</v>
      </c>
    </row>
    <row r="62" spans="2:2" x14ac:dyDescent="0.25">
      <c r="B62" t="s">
        <v>84</v>
      </c>
    </row>
    <row r="63" spans="2:2" x14ac:dyDescent="0.25">
      <c r="B63" t="s">
        <v>80</v>
      </c>
    </row>
    <row r="64" spans="2:2" x14ac:dyDescent="0.25">
      <c r="B64" t="s">
        <v>85</v>
      </c>
    </row>
    <row r="66" spans="2:2" x14ac:dyDescent="0.25">
      <c r="B66" t="s">
        <v>86</v>
      </c>
    </row>
    <row r="67" spans="2:2" x14ac:dyDescent="0.25">
      <c r="B67" t="s">
        <v>87</v>
      </c>
    </row>
    <row r="68" spans="2:2" x14ac:dyDescent="0.25">
      <c r="B68" t="s">
        <v>88</v>
      </c>
    </row>
    <row r="69" spans="2:2" x14ac:dyDescent="0.25">
      <c r="B69" t="s">
        <v>89</v>
      </c>
    </row>
    <row r="70" spans="2:2" x14ac:dyDescent="0.25">
      <c r="B70" t="s">
        <v>90</v>
      </c>
    </row>
    <row r="71" spans="2:2" x14ac:dyDescent="0.25">
      <c r="B71" t="s">
        <v>91</v>
      </c>
    </row>
    <row r="72" spans="2:2" x14ac:dyDescent="0.25">
      <c r="B72" t="s">
        <v>92</v>
      </c>
    </row>
  </sheetData>
  <hyperlinks>
    <hyperlink ref="C2" r:id="rId1" xr:uid="{00000000-0004-0000-0100-000000000000}"/>
    <hyperlink ref="D2" r:id="rId2" xr:uid="{00000000-0004-0000-0100-000001000000}"/>
    <hyperlink ref="E2" r:id="rId3" xr:uid="{00000000-0004-0000-0100-000002000000}"/>
    <hyperlink ref="F2" r:id="rId4" xr:uid="{00000000-0004-0000-0100-000003000000}"/>
    <hyperlink ref="G2" r:id="rId5" xr:uid="{00000000-0004-0000-0100-000004000000}"/>
    <hyperlink ref="H2" r:id="rId6" xr:uid="{00000000-0004-0000-0100-000005000000}"/>
    <hyperlink ref="I2" r:id="rId7" xr:uid="{00000000-0004-0000-0100-000006000000}"/>
    <hyperlink ref="J2" r:id="rId8" xr:uid="{00000000-0004-0000-0100-000007000000}"/>
    <hyperlink ref="K2" r:id="rId9" xr:uid="{00000000-0004-0000-0100-000008000000}"/>
    <hyperlink ref="L2" r:id="rId10" xr:uid="{00000000-0004-0000-0100-000009000000}"/>
    <hyperlink ref="M2" r:id="rId11" xr:uid="{00000000-0004-0000-0100-00000A000000}"/>
    <hyperlink ref="N2" r:id="rId12" xr:uid="{00000000-0004-0000-0100-00000B000000}"/>
    <hyperlink ref="O2" r:id="rId13" xr:uid="{00000000-0004-0000-0100-00000C000000}"/>
    <hyperlink ref="P2" r:id="rId14" xr:uid="{00000000-0004-0000-0100-00000D000000}"/>
    <hyperlink ref="Q2" r:id="rId15" xr:uid="{00000000-0004-0000-0100-00000E000000}"/>
    <hyperlink ref="R2" r:id="rId16" xr:uid="{00000000-0004-0000-0100-00000F000000}"/>
    <hyperlink ref="S2" r:id="rId17" xr:uid="{00000000-0004-0000-0100-000010000000}"/>
    <hyperlink ref="T2" r:id="rId18" xr:uid="{00000000-0004-0000-0100-000011000000}"/>
    <hyperlink ref="U2" r:id="rId19" xr:uid="{00000000-0004-0000-0100-000012000000}"/>
    <hyperlink ref="V2" r:id="rId20" xr:uid="{00000000-0004-0000-0100-000013000000}"/>
    <hyperlink ref="W2" r:id="rId21" xr:uid="{00000000-0004-0000-0100-000014000000}"/>
    <hyperlink ref="X2" r:id="rId22" xr:uid="{00000000-0004-0000-0100-000015000000}"/>
    <hyperlink ref="Y2" r:id="rId23" xr:uid="{00000000-0004-0000-0100-000016000000}"/>
    <hyperlink ref="Z2" r:id="rId24" xr:uid="{00000000-0004-0000-0100-000017000000}"/>
    <hyperlink ref="AA2" r:id="rId25" xr:uid="{00000000-0004-0000-0100-000018000000}"/>
    <hyperlink ref="AB2" r:id="rId26" xr:uid="{00000000-0004-0000-0100-000019000000}"/>
    <hyperlink ref="A1" location="Main!A1" display="main" xr:uid="{CBA9DC43-035E-5245-A7F2-2FDD04A33136}"/>
  </hyperlinks>
  <pageMargins left="0.7" right="0.7" top="0.75" bottom="0.75" header="0.3" footer="0.3"/>
  <drawing r:id="rId2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4E6E4-93FD-411C-99BE-931A48437A94}">
  <dimension ref="B1:C15"/>
  <sheetViews>
    <sheetView workbookViewId="0">
      <selection activeCell="C13" sqref="C13"/>
    </sheetView>
  </sheetViews>
  <sheetFormatPr defaultRowHeight="15.75" x14ac:dyDescent="0.25"/>
  <cols>
    <col min="2" max="2" width="26" bestFit="1" customWidth="1"/>
    <col min="3" max="3" width="69.125" bestFit="1" customWidth="1"/>
  </cols>
  <sheetData>
    <row r="1" spans="2:3" ht="16.5" thickBot="1" x14ac:dyDescent="0.3"/>
    <row r="2" spans="2:3" x14ac:dyDescent="0.25">
      <c r="B2" s="17" t="s">
        <v>110</v>
      </c>
      <c r="C2" s="18" t="s">
        <v>42</v>
      </c>
    </row>
    <row r="3" spans="2:3" x14ac:dyDescent="0.25">
      <c r="B3" s="13" t="s">
        <v>102</v>
      </c>
      <c r="C3" s="14" t="s">
        <v>105</v>
      </c>
    </row>
    <row r="4" spans="2:3" x14ac:dyDescent="0.25">
      <c r="B4" s="13" t="s">
        <v>103</v>
      </c>
      <c r="C4" s="14" t="s">
        <v>104</v>
      </c>
    </row>
    <row r="5" spans="2:3" x14ac:dyDescent="0.25">
      <c r="B5" s="13" t="s">
        <v>106</v>
      </c>
      <c r="C5" s="14"/>
    </row>
    <row r="6" spans="2:3" x14ac:dyDescent="0.25">
      <c r="B6" s="13" t="s">
        <v>107</v>
      </c>
      <c r="C6" s="14"/>
    </row>
    <row r="7" spans="2:3" ht="16.5" thickBot="1" x14ac:dyDescent="0.3">
      <c r="B7" s="15" t="s">
        <v>108</v>
      </c>
      <c r="C7" s="16" t="s">
        <v>109</v>
      </c>
    </row>
    <row r="10" spans="2:3" x14ac:dyDescent="0.25">
      <c r="B10" t="s">
        <v>111</v>
      </c>
    </row>
    <row r="11" spans="2:3" x14ac:dyDescent="0.25">
      <c r="B11" t="s">
        <v>112</v>
      </c>
      <c r="C11">
        <v>99.67</v>
      </c>
    </row>
    <row r="12" spans="2:3" x14ac:dyDescent="0.25">
      <c r="B12" t="s">
        <v>113</v>
      </c>
      <c r="C12">
        <v>99.75</v>
      </c>
    </row>
    <row r="13" spans="2:3" x14ac:dyDescent="0.25">
      <c r="B13" t="s">
        <v>114</v>
      </c>
      <c r="C13">
        <v>99.98</v>
      </c>
    </row>
    <row r="14" spans="2:3" x14ac:dyDescent="0.25">
      <c r="B14" t="s">
        <v>115</v>
      </c>
      <c r="C14">
        <v>99.995000000000005</v>
      </c>
    </row>
    <row r="15" spans="2:3" x14ac:dyDescent="0.25">
      <c r="C15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Data Centers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Dillon Walton</dc:creator>
  <cp:lastModifiedBy>Dillon Walton</cp:lastModifiedBy>
  <dcterms:created xsi:type="dcterms:W3CDTF">2026-09-13T00:33:18Z</dcterms:created>
  <dcterms:modified xsi:type="dcterms:W3CDTF">2026-09-14T21:51:30Z</dcterms:modified>
</cp:coreProperties>
</file>