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odels\"/>
    </mc:Choice>
  </mc:AlternateContent>
  <xr:revisionPtr revIDLastSave="0" documentId="13_ncr:1_{DC54033A-AA55-4924-82CE-F7707955FF89}" xr6:coauthVersionLast="47" xr6:coauthVersionMax="47" xr10:uidLastSave="{00000000-0000-0000-0000-000000000000}"/>
  <bookViews>
    <workbookView xWindow="38280" yWindow="-120" windowWidth="38640" windowHeight="21120" activeTab="1" xr2:uid="{00000000-000D-0000-FFFF-FFFF00000000}"/>
  </bookViews>
  <sheets>
    <sheet name="Main" sheetId="1" r:id="rId1"/>
    <sheet name="Model" sheetId="2" r:id="rId2"/>
    <sheet name="Data Cente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5" i="1"/>
  <c r="H8" i="1" s="1"/>
  <c r="I3" i="1"/>
  <c r="DC39" i="2"/>
  <c r="DB39" i="2"/>
  <c r="DA39" i="2"/>
  <c r="CZ39" i="2"/>
  <c r="CY39" i="2"/>
  <c r="DC30" i="2"/>
  <c r="DC32" i="2" s="1"/>
  <c r="DB30" i="2"/>
  <c r="DB32" i="2" s="1"/>
  <c r="DA30" i="2"/>
  <c r="DA32" i="2" s="1"/>
  <c r="CZ30" i="2"/>
  <c r="CZ32" i="2" s="1"/>
  <c r="CY30" i="2"/>
  <c r="CY32" i="2" s="1"/>
  <c r="DC7" i="2"/>
  <c r="DB7" i="2"/>
  <c r="DA7" i="2"/>
  <c r="CZ7" i="2"/>
  <c r="CY46" i="2" l="1"/>
  <c r="CY40" i="2"/>
  <c r="CY47" i="2" s="1"/>
  <c r="CZ40" i="2"/>
  <c r="CZ47" i="2" s="1"/>
  <c r="CZ46" i="2"/>
  <c r="DA40" i="2"/>
  <c r="DA47" i="2" s="1"/>
  <c r="DA46" i="2"/>
  <c r="DB40" i="2"/>
  <c r="DB47" i="2" s="1"/>
  <c r="DB46" i="2"/>
  <c r="DC46" i="2"/>
  <c r="DC40" i="2"/>
  <c r="DC4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 Walton</author>
  </authors>
  <commentList>
    <comment ref="C4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Dillon Walton:
Since 2015</t>
        </r>
      </text>
    </comment>
  </commentList>
</comments>
</file>

<file path=xl/sharedStrings.xml><?xml version="1.0" encoding="utf-8"?>
<sst xmlns="http://schemas.openxmlformats.org/spreadsheetml/2006/main" count="204" uniqueCount="196">
  <si>
    <t>Main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</si>
  <si>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</si>
  <si>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</si>
  <si>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</si>
  <si>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</si>
  <si>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</si>
  <si>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</si>
  <si>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</si>
  <si>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</si>
  <si>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</si>
  <si>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</si>
  <si>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</si>
  <si>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</si>
  <si>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</si>
  <si>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</si>
  <si>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</si>
  <si>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</si>
  <si>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</si>
  <si>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</si>
  <si>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</si>
  <si>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</si>
  <si>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</si>
  <si>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</si>
  <si>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</si>
  <si>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</si>
  <si>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</si>
  <si>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</si>
  <si>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</si>
  <si>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</si>
  <si>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Americas</t>
  </si>
  <si>
    <t>EMEA</t>
  </si>
  <si>
    <t>APAC</t>
  </si>
  <si>
    <t>Total headcount</t>
  </si>
  <si>
    <t>Standard Virtual Circuits</t>
  </si>
  <si>
    <t/>
  </si>
  <si>
    <t>Unlimited Ports</t>
  </si>
  <si>
    <t>Unlimited Ports Plus</t>
  </si>
  <si>
    <t>Premium</t>
  </si>
  <si>
    <t>Colocation</t>
  </si>
  <si>
    <t>Interconnection</t>
  </si>
  <si>
    <t>Managed Infrastructure</t>
  </si>
  <si>
    <t>Other</t>
  </si>
  <si>
    <t>Recurring revenues</t>
  </si>
  <si>
    <t>Non-recurring revenues</t>
  </si>
  <si>
    <t>Recurring</t>
  </si>
  <si>
    <t>Non-Recurring</t>
  </si>
  <si>
    <t>Revenue</t>
  </si>
  <si>
    <t>Cost of Rev</t>
  </si>
  <si>
    <t>Gross profit</t>
  </si>
  <si>
    <t>S&amp;M</t>
  </si>
  <si>
    <t>G&amp;A</t>
  </si>
  <si>
    <t>Restructuring / Exit charges</t>
  </si>
  <si>
    <t>Transaction costs</t>
  </si>
  <si>
    <t>Impairment charges</t>
  </si>
  <si>
    <t>(Gain) loss on assets</t>
  </si>
  <si>
    <t>Opex</t>
  </si>
  <si>
    <t>Operating Income</t>
  </si>
  <si>
    <t>Gross Margin</t>
  </si>
  <si>
    <t>Operating Margin</t>
  </si>
  <si>
    <t>Cash</t>
  </si>
  <si>
    <t>ST Investments</t>
  </si>
  <si>
    <t>AR</t>
  </si>
  <si>
    <t>Current Assets</t>
  </si>
  <si>
    <t>PPE</t>
  </si>
  <si>
    <t>Operating Lease ROU</t>
  </si>
  <si>
    <t>Goodwill</t>
  </si>
  <si>
    <t>Intangible</t>
  </si>
  <si>
    <t>Assets</t>
  </si>
  <si>
    <t>AP</t>
  </si>
  <si>
    <t>Accrued PPE</t>
  </si>
  <si>
    <t>Current Operating Lease</t>
  </si>
  <si>
    <t>Current Finance Lease</t>
  </si>
  <si>
    <t>Current Mortgage + Loans</t>
  </si>
  <si>
    <t>Current senior notes</t>
  </si>
  <si>
    <t>Current Liabilities</t>
  </si>
  <si>
    <t>Founded</t>
  </si>
  <si>
    <t>Price</t>
  </si>
  <si>
    <t>Tax Classification</t>
  </si>
  <si>
    <t>REIT</t>
  </si>
  <si>
    <t>S/O</t>
  </si>
  <si>
    <t>HQ</t>
  </si>
  <si>
    <t>Redwood, CA</t>
  </si>
  <si>
    <t>Mkt Cap</t>
  </si>
  <si>
    <t>CEO</t>
  </si>
  <si>
    <t>Adaire Fox-Martin</t>
  </si>
  <si>
    <t>CPO</t>
  </si>
  <si>
    <t>Chris Audie</t>
  </si>
  <si>
    <t>Debt</t>
  </si>
  <si>
    <t>EVP, Global Markets</t>
  </si>
  <si>
    <t>Bruce Owen</t>
  </si>
  <si>
    <t>EV</t>
  </si>
  <si>
    <t>Divisions</t>
  </si>
  <si>
    <t>Product</t>
  </si>
  <si>
    <t>Description</t>
  </si>
  <si>
    <t>Digital Infrastructure</t>
  </si>
  <si>
    <t>Data Centers</t>
  </si>
  <si>
    <t>Digital Interconnection</t>
  </si>
  <si>
    <t>Fabric Intelligence</t>
  </si>
  <si>
    <t>Software defined network, 77 metros global</t>
  </si>
  <si>
    <t>Fabric Geo Zones</t>
  </si>
  <si>
    <t>Native data sovereignty</t>
  </si>
  <si>
    <t>Distributed AI Hub</t>
  </si>
  <si>
    <t>Type</t>
  </si>
  <si>
    <t>Enterprise</t>
  </si>
  <si>
    <t>Personal on prem, used internally</t>
  </si>
  <si>
    <t>Colocations</t>
  </si>
  <si>
    <t>Company owns building, power and cooling -&gt; customers rent space + bring servers</t>
  </si>
  <si>
    <t>Hyperscale</t>
  </si>
  <si>
    <t>Managed services / hosted dcs</t>
  </si>
  <si>
    <t>Edge</t>
  </si>
  <si>
    <t>Small facilities to reduce latency</t>
  </si>
  <si>
    <t>Reliability</t>
  </si>
  <si>
    <t>Tier I</t>
  </si>
  <si>
    <t>Tier II</t>
  </si>
  <si>
    <t>Tier III</t>
  </si>
  <si>
    <t>Tier IV</t>
  </si>
  <si>
    <t>Mostly through redundancy</t>
  </si>
  <si>
    <t>Q200</t>
  </si>
  <si>
    <t>Q300</t>
  </si>
  <si>
    <t>Q400</t>
  </si>
  <si>
    <t>Q101</t>
  </si>
  <si>
    <t>Q201</t>
  </si>
  <si>
    <t>Q301</t>
  </si>
  <si>
    <t>Q401</t>
  </si>
  <si>
    <t>Q102</t>
  </si>
  <si>
    <t>Q202</t>
  </si>
  <si>
    <t>Q302</t>
  </si>
  <si>
    <t>Q402</t>
  </si>
  <si>
    <t>Q103</t>
  </si>
  <si>
    <t>Q203</t>
  </si>
  <si>
    <t>Q303</t>
  </si>
  <si>
    <t>Q403</t>
  </si>
  <si>
    <t>Q104</t>
  </si>
  <si>
    <t>Q204</t>
  </si>
  <si>
    <t>Q304</t>
  </si>
  <si>
    <t>Q404</t>
  </si>
  <si>
    <t>Q105</t>
  </si>
  <si>
    <t>Q205</t>
  </si>
  <si>
    <t>Q305</t>
  </si>
  <si>
    <t>Q405</t>
  </si>
  <si>
    <t>Q106</t>
  </si>
  <si>
    <t>Q206</t>
  </si>
  <si>
    <t>Q306</t>
  </si>
  <si>
    <t>Q406</t>
  </si>
  <si>
    <t>Q107</t>
  </si>
  <si>
    <t>Q207</t>
  </si>
  <si>
    <t>Q307</t>
  </si>
  <si>
    <t>Q407</t>
  </si>
  <si>
    <t>Q108</t>
  </si>
  <si>
    <t>Q208</t>
  </si>
  <si>
    <t>Q308</t>
  </si>
  <si>
    <t>Q408</t>
  </si>
  <si>
    <t>Q109</t>
  </si>
  <si>
    <t>Q209</t>
  </si>
  <si>
    <t>Q309</t>
  </si>
  <si>
    <t>Q409</t>
  </si>
  <si>
    <t>Q110</t>
  </si>
  <si>
    <t>Q210</t>
  </si>
  <si>
    <t>Q310</t>
  </si>
  <si>
    <t>Q410</t>
  </si>
  <si>
    <t>Q111</t>
  </si>
  <si>
    <t>Q211</t>
  </si>
  <si>
    <t>Q311</t>
  </si>
  <si>
    <t>Q411</t>
  </si>
  <si>
    <t>Q112</t>
  </si>
  <si>
    <t>Q212</t>
  </si>
  <si>
    <t>Q312</t>
  </si>
  <si>
    <t>Q412</t>
  </si>
  <si>
    <t>Q113</t>
  </si>
  <si>
    <t>Q213</t>
  </si>
  <si>
    <t>Q313</t>
  </si>
  <si>
    <t>Q413</t>
  </si>
  <si>
    <t>Q114</t>
  </si>
  <si>
    <t>Q214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</si>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</sst>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u/>
      <sz val="12"/>
      <color rgb="FF0563C1"/>
      <name val="Aptos Narrow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family val="2"/>
      <scheme val="minor"/>
    </font>
    <font>
      <i/>
      <u/>
      <sz val="12"/>
      <color rgb="FF7030A0"/>
      <name val="Aptos Narrow"/>
      <family val="2"/>
      <scheme val="minor"/>
    </font>
    <font>
      <u/>
      <sz val="12"/>
      <color rgb="FF4F81BD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9" fontId="3" fillId="0" borderId="0"/>
  </cellStyleXfs>
  <cellXfs count="21">
    <xf numFmtId="0" fontId="0" fillId="0" borderId="0" xfId="0"/>
    <xf numFmtId="0" fontId="1" fillId="0" borderId="0" xfId="0" applyFont="1"/>
    <xf numFmtId="0" fontId="2" fillId="0" borderId="0" xfId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3" fontId="4" fillId="0" borderId="0" xfId="0" applyNumberFormat="1" applyFont="1"/>
    <xf numFmtId="9" fontId="0" fillId="0" borderId="0" xfId="2" applyFont="1"/>
    <xf numFmtId="9" fontId="0" fillId="0" borderId="0" xfId="0" applyNumberFormat="1"/>
    <xf numFmtId="0" fontId="5" fillId="0" borderId="0" xfId="0" applyFont="1"/>
    <xf numFmtId="3" fontId="5" fillId="0" borderId="0" xfId="0" applyNumberFormat="1" applyFont="1"/>
    <xf numFmtId="3" fontId="6" fillId="0" borderId="0" xfId="0" applyNumberFormat="1" applyFont="1"/>
    <xf numFmtId="15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7" fillId="0" borderId="1" xfId="0" applyFont="1" applyBorder="1"/>
    <xf numFmtId="0" fontId="7" fillId="0" borderId="2" xfId="0" applyFont="1" applyBorder="1"/>
    <xf numFmtId="0" fontId="8" fillId="0" borderId="0" xfId="1" applyFont="1"/>
    <xf numFmtId="0" fontId="9" fillId="0" borderId="0" xfId="1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107</xdr:col>
      <xdr:colOff>25400</xdr:colOff>
      <xdr:row>0</xdr:row>
      <xdr:rowOff>127000</xdr:rowOff>
    </xdr:from>
    <xdr:to>
      <xdr:col>107</xdr:col>
      <xdr:colOff>25400</xdr:colOff>
      <xdr:row>92</xdr:row>
      <xdr:rowOff>25400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962108A-CB18-0ED8-ED13-2FC77451B386}"/>
            </a:ext>
          </a:extLst>
        </xdr:cNvPr>
        <xdr:cNvCxnSpPr/>
      </xdr:nvCxnSpPr>
      <xdr:spPr>
        <a:xfrm>
          <a:off x="24066500" y="127000"/>
          <a:ext cx="0" cy="179832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ec.gov/Archives/edgar/data/1101239/000110123926000145/a991eqix-q226xpr.htm" TargetMode="External"/><Relationship Id="rId21" Type="http://schemas.openxmlformats.org/officeDocument/2006/relationships/hyperlink" Target="https://www.sec.gov/Archives/edgar/data/1101239/000162828025021080/eqix-033125xpr8k.htm" TargetMode="External"/><Relationship Id="rId42" Type="http://schemas.openxmlformats.org/officeDocument/2006/relationships/hyperlink" Target="https://www.sec.gov/Archives/edgar/data/1101239/000115752304003674/a4622822ex99.txt" TargetMode="External"/><Relationship Id="rId47" Type="http://schemas.openxmlformats.org/officeDocument/2006/relationships/hyperlink" Target="https://www.sec.gov/Archives/edgar/data/1101239/000115752305006623/a4939539ex991.txt" TargetMode="External"/><Relationship Id="rId63" Type="http://schemas.openxmlformats.org/officeDocument/2006/relationships/hyperlink" Target="https://www.sec.gov/Archives/edgar/data/1101239/000115752309005019/a6012323ex99_1.htm" TargetMode="External"/><Relationship Id="rId68" Type="http://schemas.openxmlformats.org/officeDocument/2006/relationships/hyperlink" Target="https://www.sec.gov/Archives/edgar/data/1101239/000115752310006098/a6482935_ex99-1.htm" TargetMode="External"/><Relationship Id="rId84" Type="http://schemas.openxmlformats.org/officeDocument/2006/relationships/hyperlink" Target="https://www.sec.gov/Archives/edgar/data/1101239/000114420414063633/v392436_ex99-1.htm" TargetMode="External"/><Relationship Id="rId89" Type="http://schemas.openxmlformats.org/officeDocument/2006/relationships/hyperlink" Target="https://www.sec.gov/Archives/edgar/data/1101239/000114420416083262/v432179_ex99-1.htm" TargetMode="External"/><Relationship Id="rId16" Type="http://schemas.openxmlformats.org/officeDocument/2006/relationships/hyperlink" Target="https://www.sec.gov/Archives/edgar/data/1101239/000162828024004799/eqix-123123xpr8kupload.htm" TargetMode="External"/><Relationship Id="rId11" Type="http://schemas.openxmlformats.org/officeDocument/2006/relationships/hyperlink" Target="https://www.sec.gov/Archives/edgar/data/1101239/000156459022036360/d365845dex991.htm" TargetMode="External"/><Relationship Id="rId32" Type="http://schemas.openxmlformats.org/officeDocument/2006/relationships/hyperlink" Target="https://www.sec.gov/Archives/edgar/data/1101239/000101287001502743/d10q.txt" TargetMode="External"/><Relationship Id="rId37" Type="http://schemas.openxmlformats.org/officeDocument/2006/relationships/hyperlink" Target="https://www.sec.gov/Archives/edgar/data/1101239/000101287003001012/dex991.htm" TargetMode="External"/><Relationship Id="rId53" Type="http://schemas.openxmlformats.org/officeDocument/2006/relationships/hyperlink" Target="https://www.sec.gov/Archives/edgar/data/1101239/000115752307001217/a5328557ex99_2.txt" TargetMode="External"/><Relationship Id="rId58" Type="http://schemas.openxmlformats.org/officeDocument/2006/relationships/hyperlink" Target="https://www.sec.gov/Archives/edgar/data/1101239/000115752308003188/a5665630ex99_1.htm" TargetMode="External"/><Relationship Id="rId74" Type="http://schemas.openxmlformats.org/officeDocument/2006/relationships/hyperlink" Target="https://www.sec.gov/Archives/edgar/data/1101239/000115752312002067/a50252078_ex99-1.htm" TargetMode="External"/><Relationship Id="rId79" Type="http://schemas.openxmlformats.org/officeDocument/2006/relationships/hyperlink" Target="https://www.sec.gov/Archives/edgar/data/1101239/000115752313003505/a50676461ex99_1.htm" TargetMode="External"/><Relationship Id="rId102" Type="http://schemas.openxmlformats.org/officeDocument/2006/relationships/hyperlink" Target="https://www.sec.gov/Archives/edgar/data/1101239/000114420419022962/tv520324_ex99-1.htm" TargetMode="External"/><Relationship Id="rId5" Type="http://schemas.openxmlformats.org/officeDocument/2006/relationships/hyperlink" Target="https://www.sec.gov/Archives/edgar/data/1101239/000156459021021337/d176252dex991.htm" TargetMode="External"/><Relationship Id="rId90" Type="http://schemas.openxmlformats.org/officeDocument/2006/relationships/hyperlink" Target="https://www.sec.gov/Archives/edgar/data/1101239/000114420416098930/v438877_ex99-1.htm" TargetMode="External"/><Relationship Id="rId95" Type="http://schemas.openxmlformats.org/officeDocument/2006/relationships/hyperlink" Target="https://www.sec.gov/Archives/edgar/data/1101239/000114420417039929/v472175_ex99-1.htm" TargetMode="External"/><Relationship Id="rId22" Type="http://schemas.openxmlformats.org/officeDocument/2006/relationships/hyperlink" Target="https://www.sec.gov/Archives/edgar/data/1101239/000110123925000035/eqix-063025xpressrelease.htm" TargetMode="External"/><Relationship Id="rId27" Type="http://schemas.openxmlformats.org/officeDocument/2006/relationships/hyperlink" Target="https://www.sec.gov/Archives/edgar/data/1101239/000101287000003870/0001012870-00-003870-index.htm" TargetMode="External"/><Relationship Id="rId43" Type="http://schemas.openxmlformats.org/officeDocument/2006/relationships/hyperlink" Target="https://www.sec.gov/Archives/edgar/data/1101239/000115752304007009/a4690569ex991.txt" TargetMode="External"/><Relationship Id="rId48" Type="http://schemas.openxmlformats.org/officeDocument/2006/relationships/hyperlink" Target="https://www.sec.gov/Archives/edgar/data/1101239/000115752305009151/a5003158ex99-1.txt" TargetMode="External"/><Relationship Id="rId64" Type="http://schemas.openxmlformats.org/officeDocument/2006/relationships/hyperlink" Target="https://www.sec.gov/Archives/edgar/data/1101239/000115752309007056/a6078687ex99_1.htm" TargetMode="External"/><Relationship Id="rId69" Type="http://schemas.openxmlformats.org/officeDocument/2006/relationships/hyperlink" Target="https://www.sec.gov/Archives/edgar/data/1101239/000115752311000722/a6004285_ex99-1.htm" TargetMode="External"/><Relationship Id="rId80" Type="http://schemas.openxmlformats.org/officeDocument/2006/relationships/hyperlink" Target="https://www.sec.gov/Archives/edgar/data/1101239/000115752313004853/a50734818_ex99-1.htm" TargetMode="External"/><Relationship Id="rId85" Type="http://schemas.openxmlformats.org/officeDocument/2006/relationships/hyperlink" Target="https://www.sec.gov/Archives/edgar/data/1101239/000114420415010919/v402256_ex99-1.htm" TargetMode="External"/><Relationship Id="rId12" Type="http://schemas.openxmlformats.org/officeDocument/2006/relationships/hyperlink" Target="https://www.sec.gov/Archives/edgar/data/1101239/000095017023002891/eqix-ex99_1.htm" TargetMode="External"/><Relationship Id="rId17" Type="http://schemas.openxmlformats.org/officeDocument/2006/relationships/hyperlink" Target="https://www.sec.gov/Archives/edgar/data/1101239/000162828024021695/eqix-033124xpr8kupload.htm" TargetMode="External"/><Relationship Id="rId33" Type="http://schemas.openxmlformats.org/officeDocument/2006/relationships/hyperlink" Target="https://www.sec.gov/Archives/edgar/data/1101239/000101287002001049/dex991.txt" TargetMode="External"/><Relationship Id="rId38" Type="http://schemas.openxmlformats.org/officeDocument/2006/relationships/hyperlink" Target="https://www.sec.gov/Archives/edgar/data/1101239/000101287003002520/dex991.htm" TargetMode="External"/><Relationship Id="rId59" Type="http://schemas.openxmlformats.org/officeDocument/2006/relationships/hyperlink" Target="https://www.sec.gov/Archives/edgar/data/1101239/000115752308005789/a5737996ex99_1.htm" TargetMode="External"/><Relationship Id="rId103" Type="http://schemas.openxmlformats.org/officeDocument/2006/relationships/hyperlink" Target="https://www.sec.gov/Archives/edgar/data/1101239/000114420419036886/tv526307_ex99-1.htm" TargetMode="External"/><Relationship Id="rId20" Type="http://schemas.openxmlformats.org/officeDocument/2006/relationships/hyperlink" Target="https://www.sec.gov/Archives/edgar/data/1101239/000162828025005122/eqix-123124xpr.htm" TargetMode="External"/><Relationship Id="rId41" Type="http://schemas.openxmlformats.org/officeDocument/2006/relationships/hyperlink" Target="https://www.sec.gov/Archives/edgar/data/1101239/000115752304000993/a4565665ex991.txt" TargetMode="External"/><Relationship Id="rId54" Type="http://schemas.openxmlformats.org/officeDocument/2006/relationships/hyperlink" Target="https://www.sec.gov/Archives/edgar/data/1101239/000115752307004147/a5387244ex99_1.txt" TargetMode="External"/><Relationship Id="rId62" Type="http://schemas.openxmlformats.org/officeDocument/2006/relationships/hyperlink" Target="https://www.sec.gov/Archives/edgar/data/1101239/000115752309002844/a5945834ex99_1.htm" TargetMode="External"/><Relationship Id="rId70" Type="http://schemas.openxmlformats.org/officeDocument/2006/relationships/hyperlink" Target="https://www.sec.gov/Archives/edgar/data/1101239/000115752311002334/a6698892_ex99-1.htm" TargetMode="External"/><Relationship Id="rId75" Type="http://schemas.openxmlformats.org/officeDocument/2006/relationships/hyperlink" Target="https://www.sec.gov/Archives/edgar/data/1101239/000115752312003854/a50353155_ex99-1.htm" TargetMode="External"/><Relationship Id="rId83" Type="http://schemas.openxmlformats.org/officeDocument/2006/relationships/hyperlink" Target="https://www.sec.gov/Archives/edgar/data/1101239/000114420414045806/v385135_ex99-1.htm" TargetMode="External"/><Relationship Id="rId88" Type="http://schemas.openxmlformats.org/officeDocument/2006/relationships/hyperlink" Target="https://www.sec.gov/Archives/edgar/data/1101239/000114420415061222/v423033_ex99-1.htm" TargetMode="External"/><Relationship Id="rId91" Type="http://schemas.openxmlformats.org/officeDocument/2006/relationships/hyperlink" Target="https://www.sec.gov/Archives/edgar/data/1101239/000114420416116227/v445883_ex99-1.htm" TargetMode="External"/><Relationship Id="rId96" Type="http://schemas.openxmlformats.org/officeDocument/2006/relationships/hyperlink" Target="https://www.sec.gov/Archives/edgar/data/1101239/000162828017010989/exh992q3-17proxforma.htm" TargetMode="External"/><Relationship Id="rId1" Type="http://schemas.openxmlformats.org/officeDocument/2006/relationships/hyperlink" Target="https://www.sec.gov/Archives/edgar/data/1101239/000156459020021918/d86493dex991.htm" TargetMode="External"/><Relationship Id="rId6" Type="http://schemas.openxmlformats.org/officeDocument/2006/relationships/hyperlink" Target="https://www.sec.gov/Archives/edgar/data/1101239/000156459021038619/d190257dex991.htm" TargetMode="External"/><Relationship Id="rId15" Type="http://schemas.openxmlformats.org/officeDocument/2006/relationships/hyperlink" Target="https://www.sec.gov/Archives/edgar/data/1101239/000095017023055177/eqix-ex99_1.htm" TargetMode="External"/><Relationship Id="rId23" Type="http://schemas.openxmlformats.org/officeDocument/2006/relationships/hyperlink" Target="https://www.sec.gov/Archives/edgar/data/1101239/000110123925000061/october292025pressrelease-.htm" TargetMode="External"/><Relationship Id="rId28" Type="http://schemas.openxmlformats.org/officeDocument/2006/relationships/hyperlink" Target="https://www.sec.gov/Archives/edgar/data/1101239/000101287000005617/0001012870-00-005617-index.htm" TargetMode="External"/><Relationship Id="rId36" Type="http://schemas.openxmlformats.org/officeDocument/2006/relationships/hyperlink" Target="https://www.sec.gov/Archives/edgar/data/1101239/000101287002004255/d10q.htm" TargetMode="External"/><Relationship Id="rId49" Type="http://schemas.openxmlformats.org/officeDocument/2006/relationships/hyperlink" Target="https://www.sec.gov/Archives/edgar/data/1101239/000115752306001292/a5075383ex99-1.txt" TargetMode="External"/><Relationship Id="rId57" Type="http://schemas.openxmlformats.org/officeDocument/2006/relationships/hyperlink" Target="https://www.sec.gov/Archives/edgar/data/1101239/000119312508040053/d10k.htm" TargetMode="External"/><Relationship Id="rId106" Type="http://schemas.openxmlformats.org/officeDocument/2006/relationships/drawing" Target="../drawings/drawing1.xml"/><Relationship Id="rId10" Type="http://schemas.openxmlformats.org/officeDocument/2006/relationships/hyperlink" Target="https://www.sec.gov/Archives/edgar/data/1101239/000156459022026686/d323760dex991.htm" TargetMode="External"/><Relationship Id="rId31" Type="http://schemas.openxmlformats.org/officeDocument/2006/relationships/hyperlink" Target="https://www.sec.gov/Archives/edgar/data/1101239/000101287001501607/d10q.txt" TargetMode="External"/><Relationship Id="rId44" Type="http://schemas.openxmlformats.org/officeDocument/2006/relationships/hyperlink" Target="https://www.sec.gov/Archives/edgar/data/1101239/000115752304009805/a4750434ex991.txt" TargetMode="External"/><Relationship Id="rId52" Type="http://schemas.openxmlformats.org/officeDocument/2006/relationships/hyperlink" Target="https://www.sec.gov/Archives/edgar/data/1101239/000115752306010307/a5257895ex99-1.txt" TargetMode="External"/><Relationship Id="rId60" Type="http://schemas.openxmlformats.org/officeDocument/2006/relationships/hyperlink" Target="https://www.sec.gov/Archives/edgar/data/1101239/000115752308008245/a5810251ex99_1.htm" TargetMode="External"/><Relationship Id="rId65" Type="http://schemas.openxmlformats.org/officeDocument/2006/relationships/hyperlink" Target="https://www.sec.gov/Archives/edgar/data/1101239/000115752310000811/a6174299ex99_1.htm" TargetMode="External"/><Relationship Id="rId73" Type="http://schemas.openxmlformats.org/officeDocument/2006/relationships/hyperlink" Target="https://www.sec.gov/Archives/edgar/data/1101239/000115752312000792/a50169411_ex99-1.htm" TargetMode="External"/><Relationship Id="rId78" Type="http://schemas.openxmlformats.org/officeDocument/2006/relationships/hyperlink" Target="https://www.sec.gov/Archives/edgar/data/1101239/000115752313001970/a50616929_ex991.htm" TargetMode="External"/><Relationship Id="rId81" Type="http://schemas.openxmlformats.org/officeDocument/2006/relationships/hyperlink" Target="https://www.sec.gov/Archives/edgar/data/1101239/000114420414010563/v369112_ex99-1.htm" TargetMode="External"/><Relationship Id="rId86" Type="http://schemas.openxmlformats.org/officeDocument/2006/relationships/hyperlink" Target="https://www.sec.gov/Archives/edgar/data/1101239/000114420415025927/v408748_ex99-1.htm" TargetMode="External"/><Relationship Id="rId94" Type="http://schemas.openxmlformats.org/officeDocument/2006/relationships/hyperlink" Target="https://www.sec.gov/Archives/edgar/data/1101239/000114420417022258/v465182_ex99-1.htm" TargetMode="External"/><Relationship Id="rId99" Type="http://schemas.openxmlformats.org/officeDocument/2006/relationships/hyperlink" Target="https://www.sec.gov/Archives/edgar/data/1101239/000114420418042809/tv500423_ex99-1.htm" TargetMode="External"/><Relationship Id="rId101" Type="http://schemas.openxmlformats.org/officeDocument/2006/relationships/hyperlink" Target="https://www.sec.gov/Archives/edgar/data/1101239/000114420419007141/tv513400_ex99-1.htm" TargetMode="External"/><Relationship Id="rId4" Type="http://schemas.openxmlformats.org/officeDocument/2006/relationships/hyperlink" Target="https://www.sec.gov/Archives/edgar/data/1101239/000156459021005264/d116344dex991.htm" TargetMode="External"/><Relationship Id="rId9" Type="http://schemas.openxmlformats.org/officeDocument/2006/relationships/hyperlink" Target="https://www.sec.gov/Archives/edgar/data/1101239/000156459022016068/d356545dex991.htm" TargetMode="External"/><Relationship Id="rId13" Type="http://schemas.openxmlformats.org/officeDocument/2006/relationships/hyperlink" Target="https://www.sec.gov/Archives/edgar/data/1101239/000095017023017163/eqix-ex99_1.htm" TargetMode="External"/><Relationship Id="rId18" Type="http://schemas.openxmlformats.org/officeDocument/2006/relationships/hyperlink" Target="https://www.sec.gov/Archives/edgar/data/1101239/000162828024035620/eqix-063024xpruploadhyperl.htm" TargetMode="External"/><Relationship Id="rId39" Type="http://schemas.openxmlformats.org/officeDocument/2006/relationships/hyperlink" Target="https://www.sec.gov/Archives/edgar/data/1101239/000119312503025673/dex991.htm" TargetMode="External"/><Relationship Id="rId34" Type="http://schemas.openxmlformats.org/officeDocument/2006/relationships/hyperlink" Target="https://www.sec.gov/Archives/edgar/data/1101239/000101287002002114/d10q.htm" TargetMode="External"/><Relationship Id="rId50" Type="http://schemas.openxmlformats.org/officeDocument/2006/relationships/hyperlink" Target="https://www.sec.gov/Archives/edgar/data/1101239/000115752306004118/a5133273ex991.txt" TargetMode="External"/><Relationship Id="rId55" Type="http://schemas.openxmlformats.org/officeDocument/2006/relationships/hyperlink" Target="https://www.sec.gov/Archives/edgar/data/1101239/000115752307007224/a5455551ex99_1.txt" TargetMode="External"/><Relationship Id="rId76" Type="http://schemas.openxmlformats.org/officeDocument/2006/relationships/hyperlink" Target="https://www.sec.gov/Archives/edgar/data/1101239/000115752312005648/a50462284_ex991.htm" TargetMode="External"/><Relationship Id="rId97" Type="http://schemas.openxmlformats.org/officeDocument/2006/relationships/hyperlink" Target="https://www.sec.gov/Archives/edgar/data/1101239/000114420418009056/tv486069_ex99-1.htm" TargetMode="External"/><Relationship Id="rId104" Type="http://schemas.openxmlformats.org/officeDocument/2006/relationships/hyperlink" Target="https://www.sec.gov/Archives/edgar/data/1101239/000110465919057798/tm1921454d1_ex99-1.htm" TargetMode="External"/><Relationship Id="rId7" Type="http://schemas.openxmlformats.org/officeDocument/2006/relationships/hyperlink" Target="https://www.sec.gov/Archives/edgar/data/1101239/000156459021053974/d233802dex991.htm" TargetMode="External"/><Relationship Id="rId71" Type="http://schemas.openxmlformats.org/officeDocument/2006/relationships/hyperlink" Target="https://www.sec.gov/Archives/edgar/data/1101239/000115752311004317/a6808375ex99_1.htm" TargetMode="External"/><Relationship Id="rId92" Type="http://schemas.openxmlformats.org/officeDocument/2006/relationships/hyperlink" Target="https://www.sec.gov/Archives/edgar/data/1101239/000114420416131129/v451979_ex99-1.htm" TargetMode="External"/><Relationship Id="rId2" Type="http://schemas.openxmlformats.org/officeDocument/2006/relationships/hyperlink" Target="https://www.sec.gov/Archives/edgar/data/1101239/000156459020034287/d30276dex991.htm" TargetMode="External"/><Relationship Id="rId29" Type="http://schemas.openxmlformats.org/officeDocument/2006/relationships/hyperlink" Target="https://www.sec.gov/Archives/edgar/data/1101239/000101287001001327/0001012870-01-001327-index.htm" TargetMode="External"/><Relationship Id="rId24" Type="http://schemas.openxmlformats.org/officeDocument/2006/relationships/hyperlink" Target="https://www.sec.gov/Archives/edgar/data/1101239/000110123926000030/february112026pressrelease-.htm" TargetMode="External"/><Relationship Id="rId40" Type="http://schemas.openxmlformats.org/officeDocument/2006/relationships/hyperlink" Target="https://www.sec.gov/Archives/edgar/data/1101239/000119312503068351/dex992.htm" TargetMode="External"/><Relationship Id="rId45" Type="http://schemas.openxmlformats.org/officeDocument/2006/relationships/hyperlink" Target="https://www.sec.gov/Archives/edgar/data/1101239/000115752305001262/a4818965ex991.txt" TargetMode="External"/><Relationship Id="rId66" Type="http://schemas.openxmlformats.org/officeDocument/2006/relationships/hyperlink" Target="https://www.sec.gov/Archives/edgar/data/1101239/000119312510104230/dex992.htm" TargetMode="External"/><Relationship Id="rId87" Type="http://schemas.openxmlformats.org/officeDocument/2006/relationships/hyperlink" Target="https://www.sec.gov/Archives/edgar/data/1101239/000114420415044828/v416503_ex99-1.htm" TargetMode="External"/><Relationship Id="rId61" Type="http://schemas.openxmlformats.org/officeDocument/2006/relationships/hyperlink" Target="https://www.sec.gov/Archives/edgar/data/1101239/000115752309001141/a5893394ex99_1.htm" TargetMode="External"/><Relationship Id="rId82" Type="http://schemas.openxmlformats.org/officeDocument/2006/relationships/hyperlink" Target="https://www.sec.gov/Archives/edgar/data/1101239/000114420414026262/v376630_ex99-1.htm" TargetMode="External"/><Relationship Id="rId19" Type="http://schemas.openxmlformats.org/officeDocument/2006/relationships/hyperlink" Target="https://www.sec.gov/Archives/edgar/data/1101239/000162828024044328/eqix-093024xpruploadhyperl.htm" TargetMode="External"/><Relationship Id="rId14" Type="http://schemas.openxmlformats.org/officeDocument/2006/relationships/hyperlink" Target="https://www.sec.gov/Archives/edgar/data/1101239/000095017023037243/eqix-ex99_1.htm" TargetMode="External"/><Relationship Id="rId30" Type="http://schemas.openxmlformats.org/officeDocument/2006/relationships/hyperlink" Target="https://www.sec.gov/Archives/edgar/data/1101239/000101287001500585/d10q.txt" TargetMode="External"/><Relationship Id="rId35" Type="http://schemas.openxmlformats.org/officeDocument/2006/relationships/hyperlink" Target="https://www.sec.gov/Archives/edgar/data/1101239/000102140802010889/d10q.htm" TargetMode="External"/><Relationship Id="rId56" Type="http://schemas.openxmlformats.org/officeDocument/2006/relationships/hyperlink" Target="https://www.sec.gov/Archives/edgar/data/1101239/000115752307010409/a5531709ex99_1.txt" TargetMode="External"/><Relationship Id="rId77" Type="http://schemas.openxmlformats.org/officeDocument/2006/relationships/hyperlink" Target="https://www.sec.gov/Archives/edgar/data/1101239/000115752313000743/a50562870_ex99-1.htm" TargetMode="External"/><Relationship Id="rId100" Type="http://schemas.openxmlformats.org/officeDocument/2006/relationships/hyperlink" Target="https://www.sec.gov/Archives/edgar/data/1101239/000114420418056802/tv506037_ex99-1.htm" TargetMode="External"/><Relationship Id="rId105" Type="http://schemas.openxmlformats.org/officeDocument/2006/relationships/hyperlink" Target="https://www.sec.gov/Archives/edgar/data/1101239/000156459020004350/d851670dex991.htm" TargetMode="External"/><Relationship Id="rId8" Type="http://schemas.openxmlformats.org/officeDocument/2006/relationships/hyperlink" Target="https://www.sec.gov/Archives/edgar/data/1101239/000156459022005381/d318331dex991.htm" TargetMode="External"/><Relationship Id="rId51" Type="http://schemas.openxmlformats.org/officeDocument/2006/relationships/hyperlink" Target="https://www.sec.gov/Archives/edgar/data/1101239/000115752306008434/a5208798ex99_1.txt" TargetMode="External"/><Relationship Id="rId72" Type="http://schemas.openxmlformats.org/officeDocument/2006/relationships/hyperlink" Target="https://www.sec.gov/Archives/edgar/data/1101239/000115752311006002/a50044016_ex99-1.htm" TargetMode="External"/><Relationship Id="rId93" Type="http://schemas.openxmlformats.org/officeDocument/2006/relationships/hyperlink" Target="https://www.sec.gov/Archives/edgar/data/1101239/000114420417009422/v459703_ex99-1.htm" TargetMode="External"/><Relationship Id="rId98" Type="http://schemas.openxmlformats.org/officeDocument/2006/relationships/hyperlink" Target="https://www.sec.gov/Archives/edgar/data/1101239/000114420418024762/tv492810_ex99-1.htm" TargetMode="External"/><Relationship Id="rId3" Type="http://schemas.openxmlformats.org/officeDocument/2006/relationships/hyperlink" Target="https://www.sec.gov/Archives/edgar/data/1101239/000156459020048336/d19845dex991.htm" TargetMode="External"/><Relationship Id="rId25" Type="http://schemas.openxmlformats.org/officeDocument/2006/relationships/hyperlink" Target="https://www.sec.gov/Archives/edgar/data/1101239/000110123926000089/eqix-q126xpr.htm" TargetMode="External"/><Relationship Id="rId46" Type="http://schemas.openxmlformats.org/officeDocument/2006/relationships/hyperlink" Target="https://www.sec.gov/Archives/edgar/data/1101239/000115752305003906/a4874389ex991.txt" TargetMode="External"/><Relationship Id="rId67" Type="http://schemas.openxmlformats.org/officeDocument/2006/relationships/hyperlink" Target="https://www.sec.gov/Archives/edgar/data/1101239/000115752310004390/a6375990ex99_1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19"/>
  <sheetViews>
    <sheetView workbookViewId="0">
      <selection activeCell="G24" sqref="G24"/>
    </sheetView>
  </sheetViews>
  <sheetFormatPr defaultColWidth="11" defaultRowHeight="15.75" x14ac:dyDescent="0.25"/>
  <cols>
    <col min="2" max="2" width="20.625" customWidth="1"/>
  </cols>
  <sheetData>
    <row r="3" spans="2:9" x14ac:dyDescent="0.25">
      <c r="B3" t="s">
        <v>75</v>
      </c>
      <c r="C3" s="12">
        <v>35968</v>
      </c>
      <c r="G3" t="s">
        <v>76</v>
      </c>
      <c r="H3" s="3">
        <v>1037.72</v>
      </c>
      <c r="I3" s="5">
        <f ca="1">TODAY()</f>
        <v>46281</v>
      </c>
    </row>
    <row r="4" spans="2:9" x14ac:dyDescent="0.25">
      <c r="B4" t="s">
        <v>77</v>
      </c>
      <c r="C4" t="s">
        <v>78</v>
      </c>
      <c r="G4" t="s">
        <v>79</v>
      </c>
      <c r="H4">
        <v>98.671685999999994</v>
      </c>
      <c r="I4" t="s">
        <v>26</v>
      </c>
    </row>
    <row r="5" spans="2:9" x14ac:dyDescent="0.25">
      <c r="B5" t="s">
        <v>80</v>
      </c>
      <c r="C5" t="s">
        <v>81</v>
      </c>
      <c r="G5" t="s">
        <v>82</v>
      </c>
      <c r="H5" s="4">
        <f>H4*H3</f>
        <v>102393.58199592</v>
      </c>
    </row>
    <row r="6" spans="2:9" x14ac:dyDescent="0.25">
      <c r="B6" t="s">
        <v>83</v>
      </c>
      <c r="C6" t="s">
        <v>84</v>
      </c>
      <c r="G6" t="s">
        <v>59</v>
      </c>
      <c r="H6">
        <f>979+1245</f>
        <v>2224</v>
      </c>
      <c r="I6" t="s">
        <v>26</v>
      </c>
    </row>
    <row r="7" spans="2:9" x14ac:dyDescent="0.25">
      <c r="B7" t="s">
        <v>85</v>
      </c>
      <c r="C7" t="s">
        <v>86</v>
      </c>
      <c r="G7" t="s">
        <v>87</v>
      </c>
      <c r="H7">
        <f>176+9+1170+2104+11+18519</f>
        <v>21989</v>
      </c>
      <c r="I7" t="s">
        <v>26</v>
      </c>
    </row>
    <row r="8" spans="2:9" x14ac:dyDescent="0.25">
      <c r="B8" t="s">
        <v>88</v>
      </c>
      <c r="C8" t="s">
        <v>89</v>
      </c>
      <c r="G8" t="s">
        <v>90</v>
      </c>
      <c r="H8" s="4">
        <f>H5-H6+H7</f>
        <v>122158.58199592</v>
      </c>
      <c r="I8" t="s">
        <v>26</v>
      </c>
    </row>
    <row r="14" spans="2:9" x14ac:dyDescent="0.25">
      <c r="B14" t="s">
        <v>91</v>
      </c>
      <c r="C14" t="s">
        <v>92</v>
      </c>
      <c r="E14" t="s">
        <v>93</v>
      </c>
    </row>
    <row r="15" spans="2:9" x14ac:dyDescent="0.25">
      <c r="B15" t="s">
        <v>94</v>
      </c>
    </row>
    <row r="16" spans="2:9" x14ac:dyDescent="0.25">
      <c r="B16" t="s">
        <v>95</v>
      </c>
    </row>
    <row r="17" spans="2:5" x14ac:dyDescent="0.25">
      <c r="B17" t="s">
        <v>96</v>
      </c>
      <c r="C17" t="s">
        <v>97</v>
      </c>
      <c r="E17" t="s">
        <v>98</v>
      </c>
    </row>
    <row r="18" spans="2:5" x14ac:dyDescent="0.25">
      <c r="C18" t="s">
        <v>99</v>
      </c>
      <c r="E18" t="s">
        <v>100</v>
      </c>
    </row>
    <row r="19" spans="2:5" x14ac:dyDescent="0.25">
      <c r="C19" t="s">
        <v>101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W72"/>
  <sheetViews>
    <sheetView tabSelected="1" workbookViewId="0">
      <pane xSplit="2" ySplit="2" topLeftCell="BW3" activePane="bottomRight" state="frozen"/>
      <selection pane="topRight" activeCell="C1" sqref="C1"/>
      <selection pane="bottomLeft" activeCell="A3" sqref="A3"/>
      <selection pane="bottomRight" activeCell="CC2" sqref="CC2"/>
    </sheetView>
  </sheetViews>
  <sheetFormatPr defaultColWidth="11" defaultRowHeight="15.75" x14ac:dyDescent="0.25"/>
  <cols>
    <col min="2" max="2" width="23.5" bestFit="1" customWidth="1"/>
    <col min="3" max="81" width="23.5" customWidth="1"/>
    <col min="103" max="103" width="10.375" customWidth="1"/>
  </cols>
  <sheetData>
    <row r="1" spans="1:127" x14ac:dyDescent="0.25">
      <c r="A1" s="2" t="s">
        <v>0</v>
      </c>
    </row>
    <row r="2" spans="1:127" x14ac:dyDescent="0.25">
      <c r="C2" s="19" t="s">
        <v>117</v>
      </c>
      <c r="D2" s="19" t="s">
        <v>118</v>
      </c>
      <c r="E2" s="19" t="s">
        <v>119</v>
      </c>
      <c r="F2" s="19" t="s">
        <v>120</v>
      </c>
      <c r="G2" s="19" t="s">
        <v>121</v>
      </c>
      <c r="H2" s="19" t="s">
        <v>122</v>
      </c>
      <c r="I2" s="20" t="s">
        <v>123</v>
      </c>
      <c r="J2" s="19" t="s">
        <v>124</v>
      </c>
      <c r="K2" s="19" t="s">
        <v>125</v>
      </c>
      <c r="L2" s="19" t="s">
        <v>126</v>
      </c>
      <c r="M2" s="20" t="s">
        <v>127</v>
      </c>
      <c r="N2" s="20" t="s">
        <v>128</v>
      </c>
      <c r="O2" s="20" t="s">
        <v>129</v>
      </c>
      <c r="P2" s="20" t="s">
        <v>130</v>
      </c>
      <c r="Q2" s="20" t="s">
        <v>131</v>
      </c>
      <c r="R2" s="20" t="s">
        <v>132</v>
      </c>
      <c r="S2" s="20" t="s">
        <v>133</v>
      </c>
      <c r="T2" s="20" t="s">
        <v>134</v>
      </c>
      <c r="U2" s="20" t="s">
        <v>135</v>
      </c>
      <c r="V2" s="20" t="s">
        <v>136</v>
      </c>
      <c r="W2" s="20" t="s">
        <v>137</v>
      </c>
      <c r="X2" s="20" t="s">
        <v>138</v>
      </c>
      <c r="Y2" s="20" t="s">
        <v>139</v>
      </c>
      <c r="Z2" s="20" t="s">
        <v>140</v>
      </c>
      <c r="AA2" s="20" t="s">
        <v>141</v>
      </c>
      <c r="AB2" s="20" t="s">
        <v>142</v>
      </c>
      <c r="AC2" s="20" t="s">
        <v>143</v>
      </c>
      <c r="AD2" s="20" t="s">
        <v>144</v>
      </c>
      <c r="AE2" s="20" t="s">
        <v>145</v>
      </c>
      <c r="AF2" s="20" t="s">
        <v>146</v>
      </c>
      <c r="AG2" s="19" t="s">
        <v>147</v>
      </c>
      <c r="AH2" s="20" t="s">
        <v>148</v>
      </c>
      <c r="AI2" s="20" t="s">
        <v>149</v>
      </c>
      <c r="AJ2" s="20" t="s">
        <v>150</v>
      </c>
      <c r="AK2" s="20" t="s">
        <v>151</v>
      </c>
      <c r="AL2" s="20" t="s">
        <v>152</v>
      </c>
      <c r="AM2" s="20" t="s">
        <v>153</v>
      </c>
      <c r="AN2" s="20" t="s">
        <v>154</v>
      </c>
      <c r="AO2" s="20" t="s">
        <v>155</v>
      </c>
      <c r="AP2" s="20" t="s">
        <v>156</v>
      </c>
      <c r="AQ2" s="20" t="s">
        <v>157</v>
      </c>
      <c r="AR2" s="20" t="s">
        <v>158</v>
      </c>
      <c r="AS2" s="20" t="s">
        <v>159</v>
      </c>
      <c r="AT2" s="20" t="s">
        <v>160</v>
      </c>
      <c r="AU2" s="20" t="s">
        <v>161</v>
      </c>
      <c r="AV2" s="20" t="s">
        <v>162</v>
      </c>
      <c r="AW2" s="20" t="s">
        <v>163</v>
      </c>
      <c r="AX2" s="20" t="s">
        <v>164</v>
      </c>
      <c r="AY2" s="20" t="s">
        <v>165</v>
      </c>
      <c r="AZ2" s="20" t="s">
        <v>166</v>
      </c>
      <c r="BA2" s="20" t="s">
        <v>167</v>
      </c>
      <c r="BB2" s="20" t="s">
        <v>168</v>
      </c>
      <c r="BC2" s="20" t="s">
        <v>169</v>
      </c>
      <c r="BD2" s="20" t="s">
        <v>170</v>
      </c>
      <c r="BE2" s="20" t="s">
        <v>171</v>
      </c>
      <c r="BF2" s="20" t="s">
        <v>172</v>
      </c>
      <c r="BG2" s="20" t="s">
        <v>173</v>
      </c>
      <c r="BH2" s="20" t="s">
        <v>174</v>
      </c>
      <c r="BI2" s="20" t="s">
        <v>175</v>
      </c>
      <c r="BJ2" s="20" t="s">
        <v>176</v>
      </c>
      <c r="BK2" s="20" t="s">
        <v>177</v>
      </c>
      <c r="BL2" s="20" t="s">
        <v>178</v>
      </c>
      <c r="BM2" s="20" t="s">
        <v>179</v>
      </c>
      <c r="BN2" s="20" t="s">
        <v>180</v>
      </c>
      <c r="BO2" s="20" t="s">
        <v>181</v>
      </c>
      <c r="BP2" s="20" t="s">
        <v>182</v>
      </c>
      <c r="BQ2" s="20" t="s">
        <v>183</v>
      </c>
      <c r="BR2" s="20" t="s">
        <v>184</v>
      </c>
      <c r="BS2" s="20" t="s">
        <v>185</v>
      </c>
      <c r="BT2" s="20" t="s">
        <v>186</v>
      </c>
      <c r="BU2" s="20" t="s">
        <v>187</v>
      </c>
      <c r="BV2" s="20" t="s">
        <v>188</v>
      </c>
      <c r="BW2" s="20" t="s">
        <v>189</v>
      </c>
      <c r="BX2" s="20" t="s">
        <v>190</v>
      </c>
      <c r="BY2" s="20" t="s">
        <v>191</v>
      </c>
      <c r="BZ2" s="20" t="s">
        <v>192</v>
      </c>
      <c r="CA2" s="20" t="s">
        <v>193</v>
      </c>
      <c r="CB2" s="20" t="s">
        <v>194</v>
      </c>
      <c r="CC2" s="20" t="s">
        <v>195</v>
      </c>
      <c r="CD2" s="1" t="s">
        <v>1</v>
      </c>
      <c r="CE2" s="1" t="s">
        <v>2</v>
      </c>
      <c r="CF2" s="1" t="s">
        <v>3</v>
      </c>
      <c r="CG2" s="1" t="s">
        <v>4</v>
      </c>
      <c r="CH2" s="1" t="s">
        <v>5</v>
      </c>
      <c r="CI2" s="1" t="s">
        <v>6</v>
      </c>
      <c r="CJ2" s="1" t="s">
        <v>7</v>
      </c>
      <c r="CK2" s="1" t="s">
        <v>8</v>
      </c>
      <c r="CL2" s="1" t="s">
        <v>9</v>
      </c>
      <c r="CM2" s="1" t="s">
        <v>10</v>
      </c>
      <c r="CN2" s="1" t="s">
        <v>11</v>
      </c>
      <c r="CO2" s="1" t="s">
        <v>12</v>
      </c>
      <c r="CP2" s="1" t="s">
        <v>13</v>
      </c>
      <c r="CQ2" s="1" t="s">
        <v>14</v>
      </c>
      <c r="CR2" s="1" t="s">
        <v>15</v>
      </c>
      <c r="CS2" s="1" t="s">
        <v>16</v>
      </c>
      <c r="CT2" s="1" t="s">
        <v>17</v>
      </c>
      <c r="CU2" s="1" t="s">
        <v>18</v>
      </c>
      <c r="CV2" s="1" t="s">
        <v>19</v>
      </c>
      <c r="CW2" s="1" t="s">
        <v>20</v>
      </c>
      <c r="CX2" s="1" t="s">
        <v>21</v>
      </c>
      <c r="CY2" s="1" t="s">
        <v>22</v>
      </c>
      <c r="CZ2" s="1" t="s">
        <v>23</v>
      </c>
      <c r="DA2" s="1" t="s">
        <v>24</v>
      </c>
      <c r="DB2" s="1" t="s">
        <v>25</v>
      </c>
      <c r="DC2" s="1" t="s">
        <v>26</v>
      </c>
      <c r="DD2" t="s">
        <v>27</v>
      </c>
      <c r="DE2" t="s">
        <v>28</v>
      </c>
      <c r="DG2">
        <v>2020</v>
      </c>
      <c r="DH2">
        <v>2021</v>
      </c>
      <c r="DI2">
        <v>2022</v>
      </c>
      <c r="DJ2">
        <v>2023</v>
      </c>
      <c r="DK2">
        <v>2024</v>
      </c>
      <c r="DL2">
        <v>2025</v>
      </c>
      <c r="DM2">
        <v>2026</v>
      </c>
      <c r="DN2">
        <v>2027</v>
      </c>
      <c r="DO2">
        <v>2028</v>
      </c>
      <c r="DP2">
        <v>2029</v>
      </c>
      <c r="DQ2">
        <v>2030</v>
      </c>
      <c r="DR2">
        <v>2031</v>
      </c>
      <c r="DS2">
        <v>2032</v>
      </c>
      <c r="DT2">
        <v>2033</v>
      </c>
      <c r="DU2">
        <v>2034</v>
      </c>
      <c r="DV2">
        <v>2035</v>
      </c>
      <c r="DW2">
        <v>2036</v>
      </c>
    </row>
    <row r="3" spans="1:127" x14ac:dyDescent="0.25"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</row>
    <row r="4" spans="1:127" x14ac:dyDescent="0.25">
      <c r="B4" t="s">
        <v>29</v>
      </c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6"/>
      <c r="CZ4" s="6"/>
      <c r="DA4" s="6">
        <v>5917</v>
      </c>
      <c r="DB4" s="6"/>
      <c r="DC4" s="6">
        <v>6009</v>
      </c>
    </row>
    <row r="5" spans="1:127" x14ac:dyDescent="0.25">
      <c r="B5" t="s">
        <v>30</v>
      </c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6"/>
      <c r="CZ5" s="6"/>
      <c r="DA5" s="6">
        <v>4706</v>
      </c>
      <c r="DB5" s="6"/>
      <c r="DC5" s="6">
        <v>4719</v>
      </c>
    </row>
    <row r="6" spans="1:127" x14ac:dyDescent="0.25">
      <c r="B6" t="s">
        <v>31</v>
      </c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6"/>
      <c r="CZ6" s="6"/>
      <c r="DA6" s="6">
        <v>3093</v>
      </c>
      <c r="DB6" s="6"/>
      <c r="DC6" s="6">
        <v>3203</v>
      </c>
    </row>
    <row r="7" spans="1:127" x14ac:dyDescent="0.25">
      <c r="B7" t="s">
        <v>32</v>
      </c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6"/>
      <c r="CZ7" s="6">
        <f>SUM(CZ4:CZ6)</f>
        <v>0</v>
      </c>
      <c r="DA7" s="6">
        <f>SUM(DA4:DA6)</f>
        <v>13716</v>
      </c>
      <c r="DB7" s="6">
        <f>SUM(DB4:DB6)</f>
        <v>0</v>
      </c>
      <c r="DC7" s="6">
        <f>SUM(DC4:DC6)</f>
        <v>13931</v>
      </c>
    </row>
    <row r="8" spans="1:127" x14ac:dyDescent="0.25"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6"/>
      <c r="CZ8" s="6"/>
      <c r="DA8" s="6"/>
      <c r="DB8" s="6"/>
      <c r="DC8" s="6"/>
    </row>
    <row r="9" spans="1:127" x14ac:dyDescent="0.25">
      <c r="B9" t="s">
        <v>33</v>
      </c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6"/>
      <c r="CZ9" s="6"/>
      <c r="DA9" s="6"/>
      <c r="DB9" s="6"/>
      <c r="DC9" s="6"/>
    </row>
    <row r="10" spans="1:127" x14ac:dyDescent="0.25">
      <c r="B10" t="s">
        <v>34</v>
      </c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6"/>
      <c r="CZ10" s="6"/>
      <c r="DA10" s="6"/>
      <c r="DB10" s="6"/>
      <c r="DC10" s="6"/>
    </row>
    <row r="11" spans="1:127" x14ac:dyDescent="0.25">
      <c r="B11" t="s">
        <v>35</v>
      </c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6"/>
      <c r="CZ11" s="6"/>
      <c r="DA11" s="6"/>
      <c r="DB11" s="6"/>
      <c r="DC11" s="6"/>
    </row>
    <row r="12" spans="1:127" x14ac:dyDescent="0.25">
      <c r="B12" t="s">
        <v>36</v>
      </c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6"/>
      <c r="CZ12" s="6"/>
      <c r="DA12" s="6"/>
      <c r="DB12" s="6"/>
      <c r="DC12" s="6"/>
    </row>
    <row r="13" spans="1:127" x14ac:dyDescent="0.25">
      <c r="B13" t="s">
        <v>37</v>
      </c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6"/>
      <c r="CZ13" s="6"/>
      <c r="DA13" s="6"/>
      <c r="DB13" s="6"/>
      <c r="DC13" s="6"/>
    </row>
    <row r="14" spans="1:127" x14ac:dyDescent="0.25"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6"/>
      <c r="CZ14" s="6"/>
      <c r="DA14" s="6"/>
      <c r="DB14" s="6"/>
      <c r="DC14" s="6"/>
    </row>
    <row r="15" spans="1:127" x14ac:dyDescent="0.25">
      <c r="B15" t="s">
        <v>38</v>
      </c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6"/>
      <c r="CZ15" s="6"/>
      <c r="DA15" s="6"/>
      <c r="DB15" s="6"/>
      <c r="DC15" s="6"/>
    </row>
    <row r="16" spans="1:127" x14ac:dyDescent="0.25">
      <c r="B16" t="s">
        <v>39</v>
      </c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6"/>
      <c r="CZ16" s="6"/>
      <c r="DA16" s="6"/>
      <c r="DB16" s="6"/>
      <c r="DC16" s="6"/>
    </row>
    <row r="17" spans="2:107" x14ac:dyDescent="0.25">
      <c r="B17" t="s">
        <v>40</v>
      </c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6"/>
      <c r="CZ17" s="6"/>
      <c r="DA17" s="6"/>
      <c r="DB17" s="6"/>
      <c r="DC17" s="6"/>
    </row>
    <row r="18" spans="2:107" x14ac:dyDescent="0.25">
      <c r="B18" t="s">
        <v>41</v>
      </c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6"/>
      <c r="CZ18" s="6"/>
      <c r="DA18" s="6"/>
      <c r="DB18" s="6"/>
      <c r="DC18" s="6"/>
    </row>
    <row r="19" spans="2:107" x14ac:dyDescent="0.25">
      <c r="B19" t="s">
        <v>42</v>
      </c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6"/>
      <c r="CZ19" s="6"/>
      <c r="DA19" s="6"/>
      <c r="DB19" s="6"/>
      <c r="DC19" s="6"/>
    </row>
    <row r="20" spans="2:107" x14ac:dyDescent="0.25">
      <c r="B20" t="s">
        <v>43</v>
      </c>
    </row>
    <row r="22" spans="2:107" x14ac:dyDescent="0.25"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6"/>
      <c r="CZ22" s="6"/>
      <c r="DA22" s="6"/>
      <c r="DB22" s="6"/>
      <c r="DC22" s="6"/>
    </row>
    <row r="23" spans="2:107" x14ac:dyDescent="0.25"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6"/>
      <c r="CZ23" s="6"/>
      <c r="DA23" s="6"/>
      <c r="DB23" s="6"/>
      <c r="DC23" s="6"/>
    </row>
    <row r="24" spans="2:107" x14ac:dyDescent="0.25"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6"/>
      <c r="CZ24" s="6"/>
      <c r="DA24" s="6"/>
      <c r="DB24" s="6"/>
      <c r="DC24" s="6"/>
    </row>
    <row r="25" spans="2:107" x14ac:dyDescent="0.25"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6"/>
      <c r="CZ25" s="6"/>
      <c r="DA25" s="6"/>
      <c r="DB25" s="6"/>
      <c r="DC25" s="6"/>
    </row>
    <row r="26" spans="2:107" x14ac:dyDescent="0.25"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6"/>
      <c r="CZ26" s="6"/>
      <c r="DA26" s="6"/>
      <c r="DB26" s="6"/>
      <c r="DC26" s="6"/>
    </row>
    <row r="27" spans="2:107" x14ac:dyDescent="0.25"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6"/>
      <c r="CZ27" s="6"/>
      <c r="DA27" s="6"/>
      <c r="DB27" s="6"/>
      <c r="DC27" s="6"/>
    </row>
    <row r="28" spans="2:107" x14ac:dyDescent="0.25">
      <c r="B28" t="s">
        <v>44</v>
      </c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6">
        <v>2143</v>
      </c>
      <c r="CZ28" s="6"/>
      <c r="DA28" s="6"/>
      <c r="DB28" s="6">
        <v>2331</v>
      </c>
      <c r="DC28" s="6">
        <v>2377</v>
      </c>
    </row>
    <row r="29" spans="2:107" x14ac:dyDescent="0.25">
      <c r="B29" t="s">
        <v>45</v>
      </c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6">
        <v>113</v>
      </c>
      <c r="CZ29" s="6"/>
      <c r="DA29" s="6"/>
      <c r="DB29" s="6">
        <v>113</v>
      </c>
      <c r="DC29" s="6">
        <v>248</v>
      </c>
    </row>
    <row r="30" spans="2:107" x14ac:dyDescent="0.25">
      <c r="B30" s="9" t="s">
        <v>46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11">
        <f>SUM(CY28:CY29)</f>
        <v>2256</v>
      </c>
      <c r="CZ30" s="11">
        <f>SUM(CZ28:CZ29)</f>
        <v>0</v>
      </c>
      <c r="DA30" s="11">
        <f>SUM(DA28:DA29)</f>
        <v>0</v>
      </c>
      <c r="DB30" s="11">
        <f>SUM(DB28:DB29)</f>
        <v>2444</v>
      </c>
      <c r="DC30" s="11">
        <f>SUM(DC28:DC29)</f>
        <v>2625</v>
      </c>
    </row>
    <row r="31" spans="2:107" x14ac:dyDescent="0.25">
      <c r="B31" t="s">
        <v>47</v>
      </c>
      <c r="CY31" s="6">
        <v>1084</v>
      </c>
      <c r="CZ31" s="6"/>
      <c r="DA31" s="6"/>
      <c r="DB31" s="6">
        <v>1186</v>
      </c>
      <c r="DC31" s="6">
        <v>1230</v>
      </c>
    </row>
    <row r="32" spans="2:107" x14ac:dyDescent="0.25">
      <c r="B32" s="9" t="s">
        <v>48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11">
        <f>CY30-CY31</f>
        <v>1172</v>
      </c>
      <c r="CZ32" s="11">
        <f>CZ30-CZ31</f>
        <v>0</v>
      </c>
      <c r="DA32" s="11">
        <f>DA30-DA31</f>
        <v>0</v>
      </c>
      <c r="DB32" s="11">
        <f>DB30-DB31</f>
        <v>1258</v>
      </c>
      <c r="DC32" s="11">
        <f>DC30-DC31</f>
        <v>1395</v>
      </c>
    </row>
    <row r="33" spans="2:107" x14ac:dyDescent="0.25">
      <c r="B33" t="s">
        <v>49</v>
      </c>
      <c r="CY33" s="6">
        <v>221</v>
      </c>
      <c r="CZ33" s="6"/>
      <c r="DA33" s="6"/>
      <c r="DB33" s="6">
        <v>241</v>
      </c>
      <c r="DC33" s="6">
        <v>239</v>
      </c>
    </row>
    <row r="34" spans="2:107" x14ac:dyDescent="0.25">
      <c r="B34" t="s">
        <v>50</v>
      </c>
      <c r="CY34" s="6">
        <v>451</v>
      </c>
      <c r="CZ34" s="6"/>
      <c r="DA34" s="6"/>
      <c r="DB34" s="6">
        <v>444</v>
      </c>
      <c r="DC34" s="6">
        <v>462</v>
      </c>
    </row>
    <row r="35" spans="2:107" x14ac:dyDescent="0.25">
      <c r="B35" t="s">
        <v>51</v>
      </c>
      <c r="CY35" s="6">
        <v>2</v>
      </c>
      <c r="CZ35" s="6"/>
      <c r="DA35" s="6"/>
      <c r="DB35" s="6">
        <v>6</v>
      </c>
      <c r="DC35" s="6">
        <v>6</v>
      </c>
    </row>
    <row r="36" spans="2:107" x14ac:dyDescent="0.25">
      <c r="B36" t="s">
        <v>52</v>
      </c>
      <c r="CY36" s="6">
        <v>3</v>
      </c>
      <c r="CZ36" s="6"/>
      <c r="DA36" s="6"/>
      <c r="DB36" s="6">
        <v>8</v>
      </c>
      <c r="DC36" s="6">
        <v>3</v>
      </c>
    </row>
    <row r="37" spans="2:107" x14ac:dyDescent="0.25">
      <c r="B37" t="s">
        <v>53</v>
      </c>
      <c r="CY37" s="6">
        <v>1</v>
      </c>
      <c r="DB37" s="6">
        <v>2</v>
      </c>
      <c r="DC37" s="6">
        <v>17</v>
      </c>
    </row>
    <row r="38" spans="2:107" x14ac:dyDescent="0.25">
      <c r="B38" t="s">
        <v>54</v>
      </c>
      <c r="CY38" s="6">
        <v>0</v>
      </c>
      <c r="DB38" s="6">
        <v>-20</v>
      </c>
      <c r="DC38" s="6">
        <v>3</v>
      </c>
    </row>
    <row r="39" spans="2:107" x14ac:dyDescent="0.25">
      <c r="B39" t="s">
        <v>55</v>
      </c>
      <c r="CY39" s="4">
        <f>SUM(CY33:CY38)</f>
        <v>678</v>
      </c>
      <c r="CZ39" s="4">
        <f>SUM(CZ33:CZ38)</f>
        <v>0</v>
      </c>
      <c r="DA39" s="4">
        <f>SUM(DA33:DA38)</f>
        <v>0</v>
      </c>
      <c r="DB39" s="4">
        <f>SUM(DB33:DB38)</f>
        <v>681</v>
      </c>
      <c r="DC39" s="4">
        <f>SUM(DC33:DC38)</f>
        <v>730</v>
      </c>
    </row>
    <row r="40" spans="2:107" x14ac:dyDescent="0.25">
      <c r="B40" s="9" t="s">
        <v>56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10">
        <f>CY32-CY39</f>
        <v>494</v>
      </c>
      <c r="CZ40" s="10">
        <f>CZ32-CZ39</f>
        <v>0</v>
      </c>
      <c r="DA40" s="10">
        <f>DA32-DA39</f>
        <v>0</v>
      </c>
      <c r="DB40" s="10">
        <f>DB32-DB39</f>
        <v>577</v>
      </c>
      <c r="DC40" s="10">
        <f>DC32-DC39</f>
        <v>665</v>
      </c>
    </row>
    <row r="46" spans="2:107" x14ac:dyDescent="0.25">
      <c r="B46" t="s">
        <v>57</v>
      </c>
      <c r="CY46" s="7">
        <f>CY32/CY30</f>
        <v>0.51950354609929073</v>
      </c>
      <c r="CZ46" s="7" t="e">
        <f>CZ32/CZ30</f>
        <v>#DIV/0!</v>
      </c>
      <c r="DA46" s="7" t="e">
        <f>DA32/DA30</f>
        <v>#DIV/0!</v>
      </c>
      <c r="DB46" s="7">
        <f>DB32/DB30</f>
        <v>0.51472995090016371</v>
      </c>
      <c r="DC46" s="7">
        <f>DC32/DC30</f>
        <v>0.53142857142857147</v>
      </c>
    </row>
    <row r="47" spans="2:107" x14ac:dyDescent="0.25">
      <c r="B47" t="s">
        <v>58</v>
      </c>
      <c r="CY47" s="8">
        <f>CY40/CY30</f>
        <v>0.21897163120567376</v>
      </c>
      <c r="CZ47" s="8" t="e">
        <f>CZ40/CZ30</f>
        <v>#DIV/0!</v>
      </c>
      <c r="DA47" s="8" t="e">
        <f>DA40/DA30</f>
        <v>#DIV/0!</v>
      </c>
      <c r="DB47" s="8">
        <f>DB40/DB30</f>
        <v>0.23608837970540097</v>
      </c>
      <c r="DC47" s="8">
        <f>DC40/DC30</f>
        <v>0.25333333333333335</v>
      </c>
    </row>
    <row r="54" spans="2:2" x14ac:dyDescent="0.25">
      <c r="B54" t="s">
        <v>59</v>
      </c>
    </row>
    <row r="55" spans="2:2" x14ac:dyDescent="0.25">
      <c r="B55" t="s">
        <v>60</v>
      </c>
    </row>
    <row r="56" spans="2:2" x14ac:dyDescent="0.25">
      <c r="B56" t="s">
        <v>61</v>
      </c>
    </row>
    <row r="57" spans="2:2" x14ac:dyDescent="0.25">
      <c r="B57" t="s">
        <v>41</v>
      </c>
    </row>
    <row r="58" spans="2:2" x14ac:dyDescent="0.25">
      <c r="B58" t="s">
        <v>62</v>
      </c>
    </row>
    <row r="59" spans="2:2" x14ac:dyDescent="0.25">
      <c r="B59" t="s">
        <v>63</v>
      </c>
    </row>
    <row r="60" spans="2:2" x14ac:dyDescent="0.25">
      <c r="B60" t="s">
        <v>64</v>
      </c>
    </row>
    <row r="61" spans="2:2" x14ac:dyDescent="0.25">
      <c r="B61" t="s">
        <v>65</v>
      </c>
    </row>
    <row r="62" spans="2:2" x14ac:dyDescent="0.25">
      <c r="B62" t="s">
        <v>66</v>
      </c>
    </row>
    <row r="63" spans="2:2" x14ac:dyDescent="0.25">
      <c r="B63" t="s">
        <v>41</v>
      </c>
    </row>
    <row r="64" spans="2:2" x14ac:dyDescent="0.25">
      <c r="B64" t="s">
        <v>67</v>
      </c>
    </row>
    <row r="66" spans="2:2" x14ac:dyDescent="0.25">
      <c r="B66" t="s">
        <v>68</v>
      </c>
    </row>
    <row r="67" spans="2:2" x14ac:dyDescent="0.25">
      <c r="B67" t="s">
        <v>69</v>
      </c>
    </row>
    <row r="68" spans="2:2" x14ac:dyDescent="0.25">
      <c r="B68" t="s">
        <v>70</v>
      </c>
    </row>
    <row r="69" spans="2:2" x14ac:dyDescent="0.25">
      <c r="B69" t="s">
        <v>71</v>
      </c>
    </row>
    <row r="70" spans="2:2" x14ac:dyDescent="0.25">
      <c r="B70" t="s">
        <v>72</v>
      </c>
    </row>
    <row r="71" spans="2:2" x14ac:dyDescent="0.25">
      <c r="B71" t="s">
        <v>73</v>
      </c>
    </row>
    <row r="72" spans="2:2" x14ac:dyDescent="0.25">
      <c r="B72" t="s">
        <v>74</v>
      </c>
    </row>
  </sheetData>
  <hyperlinks>
    <hyperlink ref="A1" location="Main!A1" display="main" xr:uid="{00000000-0004-0000-0100-000000000000}"/>
    <hyperlink ref="CD2" r:id="rId1" xr:uid="{00000000-0004-0000-0100-000001000000}"/>
    <hyperlink ref="CE2" r:id="rId2" xr:uid="{00000000-0004-0000-0100-000002000000}"/>
    <hyperlink ref="CF2" r:id="rId3" xr:uid="{00000000-0004-0000-0100-000003000000}"/>
    <hyperlink ref="CG2" r:id="rId4" xr:uid="{00000000-0004-0000-0100-000004000000}"/>
    <hyperlink ref="CH2" r:id="rId5" xr:uid="{00000000-0004-0000-0100-000005000000}"/>
    <hyperlink ref="CI2" r:id="rId6" xr:uid="{00000000-0004-0000-0100-000006000000}"/>
    <hyperlink ref="CJ2" r:id="rId7" xr:uid="{00000000-0004-0000-0100-000007000000}"/>
    <hyperlink ref="CK2" r:id="rId8" xr:uid="{00000000-0004-0000-0100-000008000000}"/>
    <hyperlink ref="CL2" r:id="rId9" xr:uid="{00000000-0004-0000-0100-000009000000}"/>
    <hyperlink ref="CM2" r:id="rId10" xr:uid="{00000000-0004-0000-0100-00000A000000}"/>
    <hyperlink ref="CN2" r:id="rId11" xr:uid="{00000000-0004-0000-0100-00000B000000}"/>
    <hyperlink ref="CO2" r:id="rId12" xr:uid="{00000000-0004-0000-0100-00000C000000}"/>
    <hyperlink ref="CP2" r:id="rId13" xr:uid="{00000000-0004-0000-0100-00000D000000}"/>
    <hyperlink ref="CQ2" r:id="rId14" xr:uid="{00000000-0004-0000-0100-00000E000000}"/>
    <hyperlink ref="CR2" r:id="rId15" xr:uid="{00000000-0004-0000-0100-00000F000000}"/>
    <hyperlink ref="CS2" r:id="rId16" xr:uid="{00000000-0004-0000-0100-000010000000}"/>
    <hyperlink ref="CT2" r:id="rId17" xr:uid="{00000000-0004-0000-0100-000011000000}"/>
    <hyperlink ref="CU2" r:id="rId18" xr:uid="{00000000-0004-0000-0100-000012000000}"/>
    <hyperlink ref="CV2" r:id="rId19" xr:uid="{00000000-0004-0000-0100-000013000000}"/>
    <hyperlink ref="CW2" r:id="rId20" xr:uid="{00000000-0004-0000-0100-000014000000}"/>
    <hyperlink ref="CX2" r:id="rId21" xr:uid="{00000000-0004-0000-0100-000015000000}"/>
    <hyperlink ref="CY2" r:id="rId22" xr:uid="{00000000-0004-0000-0100-000016000000}"/>
    <hyperlink ref="CZ2" r:id="rId23" xr:uid="{00000000-0004-0000-0100-000017000000}"/>
    <hyperlink ref="DA2" r:id="rId24" xr:uid="{00000000-0004-0000-0100-000018000000}"/>
    <hyperlink ref="DB2" r:id="rId25" xr:uid="{00000000-0004-0000-0100-000019000000}"/>
    <hyperlink ref="DC2" r:id="rId26" xr:uid="{00000000-0004-0000-0100-00001A000000}"/>
    <hyperlink ref="C2" r:id="rId27" display="https://www.sec.gov/Archives/edgar/data/1101239/000101287000003870/0001012870-00-003870-index.htm" xr:uid="{29FBEAC5-0A84-489E-8AD0-DC69194CDFE8}"/>
    <hyperlink ref="D2" r:id="rId28" display="https://www.sec.gov/Archives/edgar/data/1101239/000101287000005617/0001012870-00-005617-index.htm" xr:uid="{9AD2C7F3-5E8C-49C9-9B82-4BBAC44EC035}"/>
    <hyperlink ref="E2" r:id="rId29" display="https://www.sec.gov/Archives/edgar/data/1101239/000101287001001327/0001012870-01-001327-index.htm" xr:uid="{1FAD8E18-F134-4A2C-8590-04FD258EEACF}"/>
    <hyperlink ref="F2" r:id="rId30" display="https://www.sec.gov/Archives/edgar/data/1101239/000101287001500585/d10q.txt" xr:uid="{1B62D403-9792-4C94-817B-3B5A7E2ABB55}"/>
    <hyperlink ref="G2" r:id="rId31" display="https://www.sec.gov/Archives/edgar/data/1101239/000101287001501607/d10q.txt" xr:uid="{2B86FC5D-8F37-4353-8485-CB49494C2462}"/>
    <hyperlink ref="H2" r:id="rId32" display="https://www.sec.gov/Archives/edgar/data/1101239/000101287001502743/d10q.txt" xr:uid="{1E22BAC9-2F6B-4C62-8E8B-2D96B7914B63}"/>
    <hyperlink ref="I2" r:id="rId33" display="https://www.sec.gov/Archives/edgar/data/1101239/000101287002001049/dex991.txt" xr:uid="{9750C8C0-296E-431C-8A1E-544670C8F581}"/>
    <hyperlink ref="J2" r:id="rId34" display="https://www.sec.gov/Archives/edgar/data/1101239/000101287002002114/d10q.htm" xr:uid="{C4CFEBDB-347C-42B3-A2BF-B0DAD2EB6128}"/>
    <hyperlink ref="K2" r:id="rId35" display="https://www.sec.gov/Archives/edgar/data/1101239/000102140802010889/d10q.htm" xr:uid="{43F1529B-4349-4B6F-8634-EFB172368465}"/>
    <hyperlink ref="L2" r:id="rId36" display="https://www.sec.gov/Archives/edgar/data/1101239/000101287002004255/d10q.htm" xr:uid="{D7BD69EF-478D-46E1-8BA7-4621936B1323}"/>
    <hyperlink ref="M2" r:id="rId37" display="https://www.sec.gov/Archives/edgar/data/1101239/000101287003001012/dex991.htm" xr:uid="{BCD0C826-26F0-45FC-A785-BED94A271696}"/>
    <hyperlink ref="N2" r:id="rId38" display="https://www.sec.gov/Archives/edgar/data/1101239/000101287003002520/dex991.htm" xr:uid="{D37C53FE-EF9C-44FA-AF04-EFB45BA706F4}"/>
    <hyperlink ref="O2" r:id="rId39" display="https://www.sec.gov/Archives/edgar/data/1101239/000119312503025673/dex991.htm" xr:uid="{A9F87115-5EDA-4DB9-964C-31BB4EC48F4E}"/>
    <hyperlink ref="P2" r:id="rId40" display="https://www.sec.gov/Archives/edgar/data/1101239/000119312503068351/dex992.htm" xr:uid="{89F21764-5CE3-457F-8960-A2D9346E1BF9}"/>
    <hyperlink ref="Q2" r:id="rId41" display="https://www.sec.gov/Archives/edgar/data/1101239/000115752304000993/a4565665ex991.txt" xr:uid="{69827FC1-A27F-4518-AA52-E24C773138AB}"/>
    <hyperlink ref="R2" r:id="rId42" display="https://www.sec.gov/Archives/edgar/data/1101239/000115752304003674/a4622822ex99.txt" xr:uid="{54A04C3B-8515-48CA-B51C-EA9FF42D76B4}"/>
    <hyperlink ref="S2" r:id="rId43" display="https://www.sec.gov/Archives/edgar/data/1101239/000115752304007009/a4690569ex991.txt" xr:uid="{4ED3AFF8-618B-4FCC-A795-11DA9693F3E2}"/>
    <hyperlink ref="T2" r:id="rId44" display="https://www.sec.gov/Archives/edgar/data/1101239/000115752304009805/a4750434ex991.txt" xr:uid="{1A1748C6-DD01-4404-8B34-3B2460ACCB14}"/>
    <hyperlink ref="U2" r:id="rId45" display="https://www.sec.gov/Archives/edgar/data/1101239/000115752305001262/a4818965ex991.txt" xr:uid="{119C4C2F-D0F2-4892-8AD9-7AC6DFA74939}"/>
    <hyperlink ref="V2" r:id="rId46" display="https://www.sec.gov/Archives/edgar/data/1101239/000115752305003906/a4874389ex991.txt" xr:uid="{E063CB11-7D46-4FA7-A66F-2AABDA6C46A1}"/>
    <hyperlink ref="W2" r:id="rId47" display="https://www.sec.gov/Archives/edgar/data/1101239/000115752305006623/a4939539ex991.txt" xr:uid="{B0BBA2A6-1C81-417C-B064-C0657AF1B8A5}"/>
    <hyperlink ref="X2" r:id="rId48" display="https://www.sec.gov/Archives/edgar/data/1101239/000115752305009151/a5003158ex99-1.txt" xr:uid="{675CEA89-A65C-468A-A9DF-DD2C36D85FF3}"/>
    <hyperlink ref="Y2" r:id="rId49" display="https://www.sec.gov/Archives/edgar/data/1101239/000115752306001292/a5075383ex99-1.txt" xr:uid="{A7D707FC-4B32-4B4B-BF8C-8A7A9FF36CE1}"/>
    <hyperlink ref="Z2" r:id="rId50" display="https://www.sec.gov/Archives/edgar/data/1101239/000115752306004118/a5133273ex991.txt" xr:uid="{E8AD2036-0748-4B0E-B050-5F6E2BAB110A}"/>
    <hyperlink ref="AA2" r:id="rId51" display="https://www.sec.gov/Archives/edgar/data/1101239/000115752306008434/a5208798ex99_1.txt" xr:uid="{4E7075BA-CE06-452C-BC37-A1AA040C262F}"/>
    <hyperlink ref="AB2" r:id="rId52" display="https://www.sec.gov/Archives/edgar/data/1101239/000115752306010307/a5257895ex99-1.txt" xr:uid="{BE20049B-CFD7-4150-AEA9-E7349E74F077}"/>
    <hyperlink ref="AC2" r:id="rId53" display="https://www.sec.gov/Archives/edgar/data/1101239/000115752307001217/a5328557ex99_2.txt" xr:uid="{44171C1C-2BBF-484D-A885-8DAB81E399A1}"/>
    <hyperlink ref="AD2" r:id="rId54" display="https://www.sec.gov/Archives/edgar/data/1101239/000115752307004147/a5387244ex99_1.txt" xr:uid="{F336F910-78D9-4BCA-A13E-492940A6E7D0}"/>
    <hyperlink ref="AE2" r:id="rId55" display="https://www.sec.gov/Archives/edgar/data/1101239/000115752307007224/a5455551ex99_1.txt" xr:uid="{BFD0B7AA-036A-43F0-BAD6-59409A57CCC4}"/>
    <hyperlink ref="AF2" r:id="rId56" display="https://www.sec.gov/Archives/edgar/data/1101239/000115752307010409/a5531709ex99_1.txt" xr:uid="{B02770EE-E0F8-4D2B-9BE2-3BDF5D109039}"/>
    <hyperlink ref="AG2" r:id="rId57" display="https://www.sec.gov/Archives/edgar/data/1101239/000119312508040053/d10k.htm" xr:uid="{4C6167E4-5865-4972-BD3C-9D98EE100E29}"/>
    <hyperlink ref="AH2" r:id="rId58" display="https://www.sec.gov/Archives/edgar/data/1101239/000115752308003188/a5665630ex99_1.htm" xr:uid="{1867A96F-D1B0-44A5-BB94-99DEE7A02625}"/>
    <hyperlink ref="AI2" r:id="rId59" display="https://www.sec.gov/Archives/edgar/data/1101239/000115752308005789/a5737996ex99_1.htm" xr:uid="{4DD9F9B4-5093-42EA-9B64-A58624BAA756}"/>
    <hyperlink ref="AJ2" r:id="rId60" display="https://www.sec.gov/Archives/edgar/data/1101239/000115752308008245/a5810251ex99_1.htm" xr:uid="{58F7DAF7-6CED-42CF-98C6-F9DD8048AA4C}"/>
    <hyperlink ref="AK2" r:id="rId61" display="https://www.sec.gov/Archives/edgar/data/1101239/000115752309001141/a5893394ex99_1.htm" xr:uid="{CBE01E1B-7380-4934-A2A5-4FE280E5D86A}"/>
    <hyperlink ref="AL2" r:id="rId62" display="https://www.sec.gov/Archives/edgar/data/1101239/000115752309002844/a5945834ex99_1.htm" xr:uid="{DBA169B3-7191-48D8-8383-4BB9E9D34295}"/>
    <hyperlink ref="AM2" r:id="rId63" display="https://www.sec.gov/Archives/edgar/data/1101239/000115752309005019/a6012323ex99_1.htm" xr:uid="{8FE12A26-4FD8-4475-A9EB-F6FFD8B4B3C8}"/>
    <hyperlink ref="AN2" r:id="rId64" display="https://www.sec.gov/Archives/edgar/data/1101239/000115752309007056/a6078687ex99_1.htm" xr:uid="{B8D6B1ED-F0DE-4985-83B7-9A82C657149C}"/>
    <hyperlink ref="AO2" r:id="rId65" display="https://www.sec.gov/Archives/edgar/data/1101239/000115752310000811/a6174299ex99_1.htm" xr:uid="{F11326B0-13F4-44EE-89F2-0F96513D945A}"/>
    <hyperlink ref="AP2" r:id="rId66" display="https://www.sec.gov/Archives/edgar/data/1101239/000119312510104230/dex992.htm" xr:uid="{90984F31-A091-412C-9148-79279D9121A0}"/>
    <hyperlink ref="AQ2" r:id="rId67" display="https://www.sec.gov/Archives/edgar/data/1101239/000115752310004390/a6375990ex99_1.htm" xr:uid="{39BCE15C-6171-44A4-A866-77D21643CE44}"/>
    <hyperlink ref="AR2" r:id="rId68" display="https://www.sec.gov/Archives/edgar/data/1101239/000115752310006098/a6482935_ex99-1.htm" xr:uid="{58F7DD2F-07CC-44CC-B23D-D2D0015C77C0}"/>
    <hyperlink ref="AS2" r:id="rId69" display="https://www.sec.gov/Archives/edgar/data/1101239/000115752311000722/a6004285_ex99-1.htm" xr:uid="{B2F9B6D9-93C5-4EDD-8B0F-1F41724ED106}"/>
    <hyperlink ref="AT2" r:id="rId70" display="https://www.sec.gov/Archives/edgar/data/1101239/000115752311002334/a6698892_ex99-1.htm" xr:uid="{0CF73446-D811-41E0-BBE2-BE8AE72847B9}"/>
    <hyperlink ref="AU2" r:id="rId71" display="https://www.sec.gov/Archives/edgar/data/1101239/000115752311004317/a6808375ex99_1.htm" xr:uid="{8F3AA514-65CF-4208-B19A-302EF51EC8C4}"/>
    <hyperlink ref="AV2" r:id="rId72" display="https://www.sec.gov/Archives/edgar/data/1101239/000115752311006002/a50044016_ex99-1.htm" xr:uid="{E6F896EC-93BA-4B2E-B342-223CB83350C3}"/>
    <hyperlink ref="AW2" r:id="rId73" display="https://www.sec.gov/Archives/edgar/data/1101239/000115752312000792/a50169411_ex99-1.htm" xr:uid="{5031BD4C-6AD8-4C5E-97AC-42A060BC40EE}"/>
    <hyperlink ref="AX2" r:id="rId74" display="https://www.sec.gov/Archives/edgar/data/1101239/000115752312002067/a50252078_ex99-1.htm" xr:uid="{0E968366-0148-4AF0-B8ED-E0979B03A59B}"/>
    <hyperlink ref="AY2" r:id="rId75" display="https://www.sec.gov/Archives/edgar/data/1101239/000115752312003854/a50353155_ex99-1.htm" xr:uid="{2E72D98B-54FD-4733-88B0-C1459BB2DAE6}"/>
    <hyperlink ref="AZ2" r:id="rId76" display="https://www.sec.gov/Archives/edgar/data/1101239/000115752312005648/a50462284_ex991.htm" xr:uid="{6C11C266-8574-4B6A-8761-712E85F5C383}"/>
    <hyperlink ref="BA2" r:id="rId77" display="https://www.sec.gov/Archives/edgar/data/1101239/000115752313000743/a50562870_ex99-1.htm" xr:uid="{0704A0D0-D744-40E5-B32E-FB0004FF2B3B}"/>
    <hyperlink ref="BB2" r:id="rId78" display="https://www.sec.gov/Archives/edgar/data/1101239/000115752313001970/a50616929_ex991.htm" xr:uid="{AB56CFC2-B75C-4856-934B-F25C026A5C4C}"/>
    <hyperlink ref="BC2" r:id="rId79" display="https://www.sec.gov/Archives/edgar/data/1101239/000115752313003505/a50676461ex99_1.htm" xr:uid="{D7318A7A-39D9-4E54-A3C9-73D8AC618475}"/>
    <hyperlink ref="BD2" r:id="rId80" display="https://www.sec.gov/Archives/edgar/data/1101239/000115752313004853/a50734818_ex99-1.htm" xr:uid="{42044DD1-20C2-443E-BDA0-80EE539DA165}"/>
    <hyperlink ref="BE2" r:id="rId81" display="https://www.sec.gov/Archives/edgar/data/1101239/000114420414010563/v369112_ex99-1.htm" xr:uid="{846D68F9-D958-4648-B274-42FD1AE006AC}"/>
    <hyperlink ref="BF2" r:id="rId82" display="https://www.sec.gov/Archives/edgar/data/1101239/000114420414026262/v376630_ex99-1.htm" xr:uid="{CA3A8AEB-E1FE-42C3-9368-54710A763EFB}"/>
    <hyperlink ref="BG2" r:id="rId83" display="https://www.sec.gov/Archives/edgar/data/1101239/000114420414045806/v385135_ex99-1.htm" xr:uid="{FB7BB3E7-7625-4E06-97F5-14B1442CCA2C}"/>
    <hyperlink ref="BH2" r:id="rId84" display="https://www.sec.gov/Archives/edgar/data/1101239/000114420414063633/v392436_ex99-1.htm" xr:uid="{09B28A94-D938-4FE3-B39D-E676827669F9}"/>
    <hyperlink ref="BI2" r:id="rId85" display="https://www.sec.gov/Archives/edgar/data/1101239/000114420415010919/v402256_ex99-1.htm" xr:uid="{1BA51741-FB7A-464E-AC27-A304D869120C}"/>
    <hyperlink ref="BJ2" r:id="rId86" display="https://www.sec.gov/Archives/edgar/data/1101239/000114420415025927/v408748_ex99-1.htm" xr:uid="{7EB9E76C-7B7A-45F6-83F1-A0717106422A}"/>
    <hyperlink ref="BK2" r:id="rId87" display="https://www.sec.gov/Archives/edgar/data/1101239/000114420415044828/v416503_ex99-1.htm" xr:uid="{489EF1C7-CAB1-418E-A935-A7AF9F4D6BAE}"/>
    <hyperlink ref="BL2" r:id="rId88" display="https://www.sec.gov/Archives/edgar/data/1101239/000114420415061222/v423033_ex99-1.htm" xr:uid="{A5DC846D-4DDC-4399-84DC-8E86AB04D0AB}"/>
    <hyperlink ref="BM2" r:id="rId89" display="https://www.sec.gov/Archives/edgar/data/1101239/000114420416083262/v432179_ex99-1.htm" xr:uid="{72AEC941-2A9D-4006-8925-CC03C6085739}"/>
    <hyperlink ref="BN2" r:id="rId90" display="https://www.sec.gov/Archives/edgar/data/1101239/000114420416098930/v438877_ex99-1.htm" xr:uid="{7C38E419-7152-4780-85C1-94FFDAEC4AD7}"/>
    <hyperlink ref="BO2" r:id="rId91" display="https://www.sec.gov/Archives/edgar/data/1101239/000114420416116227/v445883_ex99-1.htm" xr:uid="{11E01B45-1BA4-4592-BFA5-B9982D079933}"/>
    <hyperlink ref="BP2" r:id="rId92" display="https://www.sec.gov/Archives/edgar/data/1101239/000114420416131129/v451979_ex99-1.htm" xr:uid="{E87B97DB-FA18-425D-809E-B9415AD69937}"/>
    <hyperlink ref="BQ2" r:id="rId93" display="https://www.sec.gov/Archives/edgar/data/1101239/000114420417009422/v459703_ex99-1.htm" xr:uid="{B3CDB0B5-8740-4411-8959-ACDF4F4D1C7A}"/>
    <hyperlink ref="BR2" r:id="rId94" display="https://www.sec.gov/Archives/edgar/data/1101239/000114420417022258/v465182_ex99-1.htm" xr:uid="{6FC8CB2D-7A2B-4783-9C02-709ABA09728D}"/>
    <hyperlink ref="BS2" r:id="rId95" display="https://www.sec.gov/Archives/edgar/data/1101239/000114420417039929/v472175_ex99-1.htm" xr:uid="{6BDE1440-7137-4C74-94EC-5F2B3A6F7701}"/>
    <hyperlink ref="BT2" r:id="rId96" display="https://www.sec.gov/Archives/edgar/data/1101239/000162828017010989/exh992q3-17proxforma.htm" xr:uid="{E8F358C6-7E40-4BF3-99C9-691AE34A550E}"/>
    <hyperlink ref="BU2" r:id="rId97" display="https://www.sec.gov/Archives/edgar/data/1101239/000114420418009056/tv486069_ex99-1.htm" xr:uid="{42F8854F-D94D-4575-9BDD-E64B7AD62A21}"/>
    <hyperlink ref="BV2" r:id="rId98" display="https://www.sec.gov/Archives/edgar/data/1101239/000114420418024762/tv492810_ex99-1.htm" xr:uid="{C287CF5D-10DA-4E82-95BA-253E7B8E676C}"/>
    <hyperlink ref="BW2" r:id="rId99" display="https://www.sec.gov/Archives/edgar/data/1101239/000114420418042809/tv500423_ex99-1.htm" xr:uid="{BB982221-3462-477E-BAD2-8E7AD38A6284}"/>
    <hyperlink ref="BX2" r:id="rId100" display="https://www.sec.gov/Archives/edgar/data/1101239/000114420418056802/tv506037_ex99-1.htm" xr:uid="{51F979DE-7D61-449A-864D-5A35C4FFF583}"/>
    <hyperlink ref="BY2" r:id="rId101" display="https://www.sec.gov/Archives/edgar/data/1101239/000114420419007141/tv513400_ex99-1.htm" xr:uid="{C4C3E509-36C0-445B-8516-E247B9217868}"/>
    <hyperlink ref="BZ2" r:id="rId102" display="https://www.sec.gov/Archives/edgar/data/1101239/000114420419022962/tv520324_ex99-1.htm" xr:uid="{8E28F953-820C-4A99-9B76-27E83D6B2B1E}"/>
    <hyperlink ref="CA2" r:id="rId103" display="https://www.sec.gov/Archives/edgar/data/1101239/000114420419036886/tv526307_ex99-1.htm" xr:uid="{18B01295-E9EA-4794-9DFF-5A8FA41C4BA1}"/>
    <hyperlink ref="CB2" r:id="rId104" display="https://www.sec.gov/Archives/edgar/data/1101239/000110465919057798/tm1921454d1_ex99-1.htm" xr:uid="{A15A197C-3DDD-46FB-A0A8-FE7C319340DF}"/>
    <hyperlink ref="CC2" r:id="rId105" display="https://www.sec.gov/Archives/edgar/data/1101239/000156459020004350/d851670dex991.htm" xr:uid="{69E4F322-78AC-4268-ADA7-E883B6AE58D2}"/>
  </hyperlinks>
  <pageMargins left="0.7" right="0.7" top="0.75" bottom="0.75" header="0.3" footer="0.3"/>
  <drawing r:id="rId10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15"/>
  <sheetViews>
    <sheetView workbookViewId="0">
      <selection activeCell="C13" sqref="C13"/>
    </sheetView>
  </sheetViews>
  <sheetFormatPr defaultRowHeight="15.75" x14ac:dyDescent="0.25"/>
  <cols>
    <col min="2" max="2" width="26" bestFit="1" customWidth="1"/>
    <col min="3" max="3" width="69.125" bestFit="1" customWidth="1"/>
  </cols>
  <sheetData>
    <row r="1" spans="2:3" ht="16.5" customHeight="1" thickBot="1" x14ac:dyDescent="0.3"/>
    <row r="2" spans="2:3" x14ac:dyDescent="0.25">
      <c r="B2" s="17" t="s">
        <v>102</v>
      </c>
      <c r="C2" s="18" t="s">
        <v>93</v>
      </c>
    </row>
    <row r="3" spans="2:3" x14ac:dyDescent="0.25">
      <c r="B3" s="13" t="s">
        <v>103</v>
      </c>
      <c r="C3" s="14" t="s">
        <v>104</v>
      </c>
    </row>
    <row r="4" spans="2:3" x14ac:dyDescent="0.25">
      <c r="B4" s="13" t="s">
        <v>105</v>
      </c>
      <c r="C4" s="14" t="s">
        <v>106</v>
      </c>
    </row>
    <row r="5" spans="2:3" x14ac:dyDescent="0.25">
      <c r="B5" s="13" t="s">
        <v>107</v>
      </c>
      <c r="C5" s="14"/>
    </row>
    <row r="6" spans="2:3" x14ac:dyDescent="0.25">
      <c r="B6" s="13" t="s">
        <v>108</v>
      </c>
      <c r="C6" s="14"/>
    </row>
    <row r="7" spans="2:3" ht="16.5" customHeight="1" thickBot="1" x14ac:dyDescent="0.3">
      <c r="B7" s="15" t="s">
        <v>109</v>
      </c>
      <c r="C7" s="16" t="s">
        <v>110</v>
      </c>
    </row>
    <row r="10" spans="2:3" x14ac:dyDescent="0.25">
      <c r="B10" t="s">
        <v>111</v>
      </c>
    </row>
    <row r="11" spans="2:3" x14ac:dyDescent="0.25">
      <c r="B11" t="s">
        <v>112</v>
      </c>
      <c r="C11">
        <v>99.67</v>
      </c>
    </row>
    <row r="12" spans="2:3" x14ac:dyDescent="0.25">
      <c r="B12" t="s">
        <v>113</v>
      </c>
      <c r="C12">
        <v>99.75</v>
      </c>
    </row>
    <row r="13" spans="2:3" x14ac:dyDescent="0.25">
      <c r="B13" t="s">
        <v>114</v>
      </c>
      <c r="C13">
        <v>99.98</v>
      </c>
    </row>
    <row r="14" spans="2:3" x14ac:dyDescent="0.25">
      <c r="B14" t="s">
        <v>115</v>
      </c>
      <c r="C14">
        <v>99.995000000000005</v>
      </c>
    </row>
    <row r="15" spans="2:3" x14ac:dyDescent="0.25">
      <c r="C15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Data Centers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2026-09-13T00:33:18Z</dcterms:created>
  <dcterms:modified xsi:type="dcterms:W3CDTF">2026-09-16T15:10:56Z</dcterms:modified>
</cp:coreProperties>
</file>