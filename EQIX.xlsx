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3405" windowWidth="28800" windowHeight="15345" tabRatio="600" firstSheet="0" activeTab="1" autoFilterDateGrouping="1"/>
  </bookViews>
  <sheets>
    <sheet name="Main" sheetId="1" state="visible" r:id="rId1"/>
    <sheet name="Model" sheetId="2" state="visible" r:id="rId2"/>
    <sheet name="Data Center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2"/>
      <scheme val="minor"/>
    </font>
    <font>
      <name val="Aptos Narrow"/>
      <color rgb="FF0563C1"/>
      <sz val="12"/>
      <u val="single"/>
    </font>
    <font>
      <name val="Aptos Narrow"/>
      <family val="2"/>
      <color theme="10"/>
      <sz val="12"/>
      <u val="single"/>
      <scheme val="minor"/>
    </font>
    <font>
      <name val="Aptos Narrow"/>
      <family val="2"/>
      <color theme="1"/>
      <sz val="12"/>
      <scheme val="minor"/>
    </font>
    <font>
      <name val="Aptos Narrow"/>
      <sz val="12"/>
      <scheme val="minor"/>
    </font>
    <font>
      <name val="Aptos Narrow"/>
      <b val="1"/>
      <color theme="1"/>
      <sz val="12"/>
      <scheme val="minor"/>
    </font>
    <font>
      <name val="Aptos Narrow"/>
      <b val="1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3" fillId="0" borderId="0"/>
    <xf numFmtId="0" fontId="2" fillId="0" borderId="0"/>
    <xf numFmtId="9" fontId="3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4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  <xf numFmtId="3" fontId="4" fillId="0" borderId="0" pivotButton="0" quotePrefix="0" xfId="0"/>
    <xf numFmtId="9" fontId="0" fillId="0" borderId="0" pivotButton="0" quotePrefix="0" xfId="2"/>
    <xf numFmtId="9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3" fontId="6" fillId="0" borderId="0" pivotButton="0" quotePrefix="0" xfId="0"/>
    <xf numFmtId="1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9" fillId="0" borderId="1" pivotButton="0" quotePrefix="0" xfId="0"/>
    <xf numFmtId="0" fontId="9" fillId="0" borderId="2" pivotButton="0" quotePrefix="0" xfId="0"/>
  </cellXfs>
  <cellStyles count="3">
    <cellStyle name="Normal" xfId="0" builtinId="0"/>
    <cellStyle name="Hyperlink" xfId="1" builtinId="8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Dillon Walton</author>
  </authors>
  <commentList>
    <comment ref="C4" authorId="0" shapeId="0">
      <text>
        <t>Dillon Walton:
Since 2015</t>
      </text>
    </comment>
  </commentList>
</comment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25400</xdr:colOff>
      <xdr:row>0</xdr:row>
      <xdr:rowOff>127000</xdr:rowOff>
    </xdr:from>
    <xdr:to>
      <xdr:col>28</xdr:col>
      <xdr:colOff>25400</xdr:colOff>
      <xdr:row>92</xdr:row>
      <xdr:rowOff>25400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962108A-CB18-0ED8-ED13-2FC77451B386}"/>
            </a:ext>
          </a:extLst>
        </xdr:cNvPr>
        <xdr:cNvCxnSpPr/>
      </xdr:nvCxnSpPr>
      <xdr:spPr>
        <a:xfrm>
          <a:off x="24066500" y="127000"/>
          <a:ext cx="0" cy="17983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101239/000156459020021918/d86493dex991.htm" TargetMode="External" Id="rId1" /><Relationship Type="http://schemas.openxmlformats.org/officeDocument/2006/relationships/hyperlink" Target="https://www.sec.gov/Archives/edgar/data/1101239/000156459020034287/d30276dex991.htm" TargetMode="External" Id="rId2" /><Relationship Type="http://schemas.openxmlformats.org/officeDocument/2006/relationships/hyperlink" Target="https://www.sec.gov/Archives/edgar/data/1101239/000156459020048336/d19845dex991.htm" TargetMode="External" Id="rId3" /><Relationship Type="http://schemas.openxmlformats.org/officeDocument/2006/relationships/hyperlink" Target="https://www.sec.gov/Archives/edgar/data/1101239/000156459021005264/d116344dex991.htm" TargetMode="External" Id="rId4" /><Relationship Type="http://schemas.openxmlformats.org/officeDocument/2006/relationships/hyperlink" Target="https://www.sec.gov/Archives/edgar/data/1101239/000156459021021337/d176252dex991.htm" TargetMode="External" Id="rId5" /><Relationship Type="http://schemas.openxmlformats.org/officeDocument/2006/relationships/hyperlink" Target="https://www.sec.gov/Archives/edgar/data/1101239/000156459021038619/d190257dex991.htm" TargetMode="External" Id="rId6" /><Relationship Type="http://schemas.openxmlformats.org/officeDocument/2006/relationships/hyperlink" Target="https://www.sec.gov/Archives/edgar/data/1101239/000156459021053974/d233802dex991.htm" TargetMode="External" Id="rId7" /><Relationship Type="http://schemas.openxmlformats.org/officeDocument/2006/relationships/hyperlink" Target="https://www.sec.gov/Archives/edgar/data/1101239/000156459022005381/d318331dex991.htm" TargetMode="External" Id="rId8" /><Relationship Type="http://schemas.openxmlformats.org/officeDocument/2006/relationships/hyperlink" Target="https://www.sec.gov/Archives/edgar/data/1101239/000156459022016068/d356545dex991.htm" TargetMode="External" Id="rId9" /><Relationship Type="http://schemas.openxmlformats.org/officeDocument/2006/relationships/hyperlink" Target="https://www.sec.gov/Archives/edgar/data/1101239/000156459022026686/d323760dex991.htm" TargetMode="External" Id="rId10" /><Relationship Type="http://schemas.openxmlformats.org/officeDocument/2006/relationships/hyperlink" Target="https://www.sec.gov/Archives/edgar/data/1101239/000156459022036360/d365845dex991.htm" TargetMode="External" Id="rId11" /><Relationship Type="http://schemas.openxmlformats.org/officeDocument/2006/relationships/hyperlink" Target="https://www.sec.gov/Archives/edgar/data/1101239/000095017023002891/eqix-ex99_1.htm" TargetMode="External" Id="rId12" /><Relationship Type="http://schemas.openxmlformats.org/officeDocument/2006/relationships/hyperlink" Target="https://www.sec.gov/Archives/edgar/data/1101239/000095017023017163/eqix-ex99_1.htm" TargetMode="External" Id="rId13" /><Relationship Type="http://schemas.openxmlformats.org/officeDocument/2006/relationships/hyperlink" Target="https://www.sec.gov/Archives/edgar/data/1101239/000095017023037243/eqix-ex99_1.htm" TargetMode="External" Id="rId14" /><Relationship Type="http://schemas.openxmlformats.org/officeDocument/2006/relationships/hyperlink" Target="https://www.sec.gov/Archives/edgar/data/1101239/000095017023055177/eqix-ex99_1.htm" TargetMode="External" Id="rId15" /><Relationship Type="http://schemas.openxmlformats.org/officeDocument/2006/relationships/hyperlink" Target="https://www.sec.gov/Archives/edgar/data/1101239/000162828024004799/eqix-123123xpr8kupload.htm" TargetMode="External" Id="rId16" /><Relationship Type="http://schemas.openxmlformats.org/officeDocument/2006/relationships/hyperlink" Target="https://www.sec.gov/Archives/edgar/data/1101239/000162828024021695/eqix-033124xpr8kupload.htm" TargetMode="External" Id="rId17" /><Relationship Type="http://schemas.openxmlformats.org/officeDocument/2006/relationships/hyperlink" Target="https://www.sec.gov/Archives/edgar/data/1101239/000162828024035620/eqix-063024xpruploadhyperl.htm" TargetMode="External" Id="rId18" /><Relationship Type="http://schemas.openxmlformats.org/officeDocument/2006/relationships/hyperlink" Target="https://www.sec.gov/Archives/edgar/data/1101239/000162828024044328/eqix-093024xpruploadhyperl.htm" TargetMode="External" Id="rId19" /><Relationship Type="http://schemas.openxmlformats.org/officeDocument/2006/relationships/hyperlink" Target="https://www.sec.gov/Archives/edgar/data/1101239/000162828025005122/eqix-123124xpr.htm" TargetMode="External" Id="rId20" /><Relationship Type="http://schemas.openxmlformats.org/officeDocument/2006/relationships/hyperlink" Target="https://www.sec.gov/Archives/edgar/data/1101239/000162828025021080/eqix-033125xpr8k.htm" TargetMode="External" Id="rId21" /><Relationship Type="http://schemas.openxmlformats.org/officeDocument/2006/relationships/hyperlink" Target="https://www.sec.gov/Archives/edgar/data/1101239/000110123925000035/eqix-063025xpressrelease.htm" TargetMode="External" Id="rId22" /><Relationship Type="http://schemas.openxmlformats.org/officeDocument/2006/relationships/hyperlink" Target="https://www.sec.gov/Archives/edgar/data/1101239/000110123925000061/october292025pressrelease-.htm" TargetMode="External" Id="rId23" /><Relationship Type="http://schemas.openxmlformats.org/officeDocument/2006/relationships/hyperlink" Target="https://www.sec.gov/Archives/edgar/data/1101239/000110123926000030/february112026pressrelease-.htm" TargetMode="External" Id="rId24" /><Relationship Type="http://schemas.openxmlformats.org/officeDocument/2006/relationships/hyperlink" Target="https://www.sec.gov/Archives/edgar/data/1101239/000110123926000089/eqix-q126xpr.htm" TargetMode="External" Id="rId25" /><Relationship Type="http://schemas.openxmlformats.org/officeDocument/2006/relationships/hyperlink" Target="https://www.sec.gov/Archives/edgar/data/1101239/000110123926000145/a991eqix-q226xpr.htm" TargetMode="External" Id="rId26" 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I19"/>
  <sheetViews>
    <sheetView workbookViewId="0">
      <selection activeCell="G24" sqref="G24"/>
    </sheetView>
  </sheetViews>
  <sheetFormatPr baseColWidth="8" defaultColWidth="11" defaultRowHeight="15.75" outlineLevelCol="0"/>
  <cols>
    <col width="20.625" customWidth="1" min="2" max="2"/>
  </cols>
  <sheetData>
    <row r="3">
      <c r="B3" t="inlineStr">
        <is>
          <t>Founded</t>
        </is>
      </c>
      <c r="C3" s="12" t="n">
        <v>35968</v>
      </c>
      <c r="G3" t="inlineStr">
        <is>
          <t>Price</t>
        </is>
      </c>
      <c r="H3" s="3" t="n">
        <v>1037.72</v>
      </c>
      <c r="I3" s="5">
        <f>TODAY()</f>
        <v/>
      </c>
    </row>
    <row r="4">
      <c r="B4" t="inlineStr">
        <is>
          <t>Tax Classification</t>
        </is>
      </c>
      <c r="C4" t="inlineStr">
        <is>
          <t>REIT</t>
        </is>
      </c>
      <c r="G4" t="inlineStr">
        <is>
          <t>S/O</t>
        </is>
      </c>
      <c r="H4" t="n">
        <v>98.67168599999999</v>
      </c>
      <c r="I4" t="inlineStr">
        <is>
          <t>Q226</t>
        </is>
      </c>
    </row>
    <row r="5">
      <c r="B5" t="inlineStr">
        <is>
          <t>HQ</t>
        </is>
      </c>
      <c r="C5" t="inlineStr">
        <is>
          <t>Redwood, CA</t>
        </is>
      </c>
      <c r="G5" t="inlineStr">
        <is>
          <t>Mkt Cap</t>
        </is>
      </c>
      <c r="H5" s="4">
        <f>H4*H3</f>
        <v/>
      </c>
    </row>
    <row r="6">
      <c r="B6" t="inlineStr">
        <is>
          <t>CEO</t>
        </is>
      </c>
      <c r="C6" t="inlineStr">
        <is>
          <t>Adaire Fox-Martin</t>
        </is>
      </c>
      <c r="G6" t="inlineStr">
        <is>
          <t>Cash</t>
        </is>
      </c>
      <c r="H6">
        <f>979+1245</f>
        <v/>
      </c>
      <c r="I6" t="inlineStr">
        <is>
          <t>Q226</t>
        </is>
      </c>
    </row>
    <row r="7">
      <c r="B7" t="inlineStr">
        <is>
          <t>CPO</t>
        </is>
      </c>
      <c r="C7" t="inlineStr">
        <is>
          <t>Chris Audie</t>
        </is>
      </c>
      <c r="G7" t="inlineStr">
        <is>
          <t>Debt</t>
        </is>
      </c>
      <c r="H7">
        <f>176+9+1170+2104+11+18519</f>
        <v/>
      </c>
      <c r="I7" t="inlineStr">
        <is>
          <t>Q226</t>
        </is>
      </c>
    </row>
    <row r="8">
      <c r="B8" t="inlineStr">
        <is>
          <t>EVP, Global Markets</t>
        </is>
      </c>
      <c r="C8" t="inlineStr">
        <is>
          <t>Bruce Owen</t>
        </is>
      </c>
      <c r="G8" t="inlineStr">
        <is>
          <t>EV</t>
        </is>
      </c>
      <c r="H8" s="4">
        <f>H5-H6+H7</f>
        <v/>
      </c>
      <c r="I8" t="inlineStr">
        <is>
          <t>Q226</t>
        </is>
      </c>
    </row>
    <row r="14">
      <c r="B14" t="inlineStr">
        <is>
          <t>Divisions</t>
        </is>
      </c>
      <c r="C14" t="inlineStr">
        <is>
          <t>Product</t>
        </is>
      </c>
      <c r="E14" t="inlineStr">
        <is>
          <t>Description</t>
        </is>
      </c>
    </row>
    <row r="15">
      <c r="B15" t="inlineStr">
        <is>
          <t>Digital Infrastructure</t>
        </is>
      </c>
    </row>
    <row r="16">
      <c r="B16" t="inlineStr">
        <is>
          <t>Data Centers</t>
        </is>
      </c>
    </row>
    <row r="17">
      <c r="B17" t="inlineStr">
        <is>
          <t>Digital Interconnection</t>
        </is>
      </c>
      <c r="C17" t="inlineStr">
        <is>
          <t>Fabric Intelligence</t>
        </is>
      </c>
      <c r="E17" t="inlineStr">
        <is>
          <t>Software defined network, 77 metros global</t>
        </is>
      </c>
    </row>
    <row r="18">
      <c r="C18" t="inlineStr">
        <is>
          <t>Fabric Geo Zones</t>
        </is>
      </c>
      <c r="E18" t="inlineStr">
        <is>
          <t>Native data sovereignty</t>
        </is>
      </c>
    </row>
    <row r="19">
      <c r="C19" t="inlineStr">
        <is>
          <t>Distributed AI Hub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72"/>
  <sheetViews>
    <sheetView tabSelected="1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F11" sqref="AF11"/>
    </sheetView>
  </sheetViews>
  <sheetFormatPr baseColWidth="8" defaultColWidth="11" defaultRowHeight="15.75" outlineLevelCol="0"/>
  <cols>
    <col width="23.5" bestFit="1" customWidth="1" min="2" max="2"/>
    <col width="10.375" customWidth="1" min="24" max="24"/>
  </cols>
  <sheetData>
    <row r="1">
      <c r="A1" s="2" t="inlineStr">
        <is>
          <t>Main</t>
        </is>
      </c>
    </row>
    <row r="2">
      <c r="C2" s="1" t="inlineStr">
        <is>
          <t>Q120</t>
        </is>
      </c>
      <c r="D2" s="1" t="inlineStr">
        <is>
          <t>Q220</t>
        </is>
      </c>
      <c r="E2" s="1" t="inlineStr">
        <is>
          <t>Q320</t>
        </is>
      </c>
      <c r="F2" s="1" t="inlineStr">
        <is>
          <t>Q420</t>
        </is>
      </c>
      <c r="G2" s="1" t="inlineStr">
        <is>
          <t>Q121</t>
        </is>
      </c>
      <c r="H2" s="1" t="inlineStr">
        <is>
          <t>Q221</t>
        </is>
      </c>
      <c r="I2" s="1" t="inlineStr">
        <is>
          <t>Q321</t>
        </is>
      </c>
      <c r="J2" s="1" t="inlineStr">
        <is>
          <t>Q421</t>
        </is>
      </c>
      <c r="K2" s="1" t="inlineStr">
        <is>
          <t>Q122</t>
        </is>
      </c>
      <c r="L2" s="1" t="inlineStr">
        <is>
          <t>Q222</t>
        </is>
      </c>
      <c r="M2" s="1" t="inlineStr">
        <is>
          <t>Q322</t>
        </is>
      </c>
      <c r="N2" s="1" t="inlineStr">
        <is>
          <t>Q422</t>
        </is>
      </c>
      <c r="O2" s="1" t="inlineStr">
        <is>
          <t>Q123</t>
        </is>
      </c>
      <c r="P2" s="1" t="inlineStr">
        <is>
          <t>Q223</t>
        </is>
      </c>
      <c r="Q2" s="1" t="inlineStr">
        <is>
          <t>Q323</t>
        </is>
      </c>
      <c r="R2" s="1" t="inlineStr">
        <is>
          <t>Q423</t>
        </is>
      </c>
      <c r="S2" s="1" t="inlineStr">
        <is>
          <t>Q124</t>
        </is>
      </c>
      <c r="T2" s="1" t="inlineStr">
        <is>
          <t>Q224</t>
        </is>
      </c>
      <c r="U2" s="1" t="inlineStr">
        <is>
          <t>Q324</t>
        </is>
      </c>
      <c r="V2" s="1" t="inlineStr">
        <is>
          <t>Q424</t>
        </is>
      </c>
      <c r="W2" s="1" t="inlineStr">
        <is>
          <t>Q125</t>
        </is>
      </c>
      <c r="X2" s="1" t="inlineStr">
        <is>
          <t>Q225</t>
        </is>
      </c>
      <c r="Y2" s="1" t="inlineStr">
        <is>
          <t>Q325</t>
        </is>
      </c>
      <c r="Z2" s="1" t="inlineStr">
        <is>
          <t>Q425</t>
        </is>
      </c>
      <c r="AA2" s="1" t="inlineStr">
        <is>
          <t>Q126</t>
        </is>
      </c>
      <c r="AB2" s="1" t="inlineStr">
        <is>
          <t>Q226</t>
        </is>
      </c>
      <c r="AC2" t="inlineStr">
        <is>
          <t>Q326</t>
        </is>
      </c>
      <c r="AD2" t="inlineStr">
        <is>
          <t>Q426</t>
        </is>
      </c>
      <c r="AF2" t="n">
        <v>2020</v>
      </c>
      <c r="AG2" t="n">
        <v>2021</v>
      </c>
      <c r="AH2" t="n">
        <v>2022</v>
      </c>
      <c r="AI2" t="n">
        <v>2023</v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O2" t="n">
        <v>2029</v>
      </c>
      <c r="AP2" t="n">
        <v>2030</v>
      </c>
      <c r="AQ2" t="n">
        <v>2031</v>
      </c>
      <c r="AR2" t="n">
        <v>2032</v>
      </c>
      <c r="AS2" t="n">
        <v>2033</v>
      </c>
      <c r="AT2" t="n">
        <v>2034</v>
      </c>
      <c r="AU2" t="n">
        <v>2035</v>
      </c>
      <c r="AV2" t="n">
        <v>2036</v>
      </c>
    </row>
    <row r="3"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>
      <c r="B4" t="inlineStr">
        <is>
          <t>Americas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6" t="n"/>
      <c r="Y4" s="6" t="n"/>
      <c r="Z4" s="6" t="n">
        <v>5917</v>
      </c>
      <c r="AA4" s="6" t="n"/>
      <c r="AB4" s="6" t="n">
        <v>6009</v>
      </c>
    </row>
    <row r="5">
      <c r="B5" t="inlineStr">
        <is>
          <t>EMEA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6" t="n"/>
      <c r="Y5" s="6" t="n"/>
      <c r="Z5" s="6" t="n">
        <v>4706</v>
      </c>
      <c r="AA5" s="6" t="n"/>
      <c r="AB5" s="6" t="n">
        <v>4719</v>
      </c>
    </row>
    <row r="6">
      <c r="B6" t="inlineStr">
        <is>
          <t>APAC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6" t="n"/>
      <c r="Y6" s="6" t="n"/>
      <c r="Z6" s="6" t="n">
        <v>3093</v>
      </c>
      <c r="AA6" s="6" t="n"/>
      <c r="AB6" s="6" t="n">
        <v>3203</v>
      </c>
    </row>
    <row r="7">
      <c r="B7" t="inlineStr">
        <is>
          <t>Total headcount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6" t="n"/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</row>
    <row r="8"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6" t="n"/>
      <c r="Y8" s="6" t="n"/>
      <c r="Z8" s="6" t="n"/>
      <c r="AA8" s="6" t="n"/>
      <c r="AB8" s="6" t="n"/>
    </row>
    <row r="9">
      <c r="B9" t="inlineStr">
        <is>
          <t>Standard Virtual Circuits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6" t="n"/>
      <c r="Y9" s="6" t="n"/>
      <c r="Z9" s="6" t="n"/>
      <c r="AA9" s="6" t="n"/>
      <c r="AB9" s="6" t="n"/>
    </row>
    <row r="10">
      <c r="B10" t="inlineStr">
        <is>
          <t> 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6" t="n"/>
      <c r="Y10" s="6" t="n"/>
      <c r="Z10" s="6" t="n"/>
      <c r="AA10" s="6" t="n"/>
      <c r="AB10" s="6" t="n"/>
    </row>
    <row r="11">
      <c r="B11" t="inlineStr">
        <is>
          <t>Unlimited Ports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6" t="n"/>
      <c r="Y11" s="6" t="n"/>
      <c r="Z11" s="6" t="n"/>
      <c r="AA11" s="6" t="n"/>
      <c r="AB11" s="6" t="n"/>
    </row>
    <row r="12">
      <c r="B12" t="inlineStr">
        <is>
          <t>Unlimited Ports Plus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6" t="n"/>
      <c r="Y12" s="6" t="n"/>
      <c r="Z12" s="6" t="n"/>
      <c r="AA12" s="6" t="n"/>
      <c r="AB12" s="6" t="n"/>
    </row>
    <row r="13">
      <c r="B13" t="inlineStr">
        <is>
          <t>Premium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6" t="n"/>
      <c r="Y13" s="6" t="n"/>
      <c r="Z13" s="6" t="n"/>
      <c r="AA13" s="6" t="n"/>
      <c r="AB13" s="6" t="n"/>
    </row>
    <row r="14"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6" t="n"/>
      <c r="Y14" s="6" t="n"/>
      <c r="Z14" s="6" t="n"/>
      <c r="AA14" s="6" t="n"/>
      <c r="AB14" s="6" t="n"/>
    </row>
    <row r="15">
      <c r="B15" t="inlineStr">
        <is>
          <t>Colocation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6" t="n"/>
      <c r="Y15" s="6" t="n"/>
      <c r="Z15" s="6" t="n"/>
      <c r="AA15" s="6" t="n"/>
      <c r="AB15" s="6" t="n"/>
    </row>
    <row r="16">
      <c r="B16" t="inlineStr">
        <is>
          <t>Interconnection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6" t="n"/>
      <c r="Y16" s="6" t="n"/>
      <c r="Z16" s="6" t="n"/>
      <c r="AA16" s="6" t="n"/>
      <c r="AB16" s="6" t="n"/>
    </row>
    <row r="17">
      <c r="B17" t="inlineStr">
        <is>
          <t>Managed Infrastructure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6" t="n"/>
      <c r="Y17" s="6" t="n"/>
      <c r="Z17" s="6" t="n"/>
      <c r="AA17" s="6" t="n"/>
      <c r="AB17" s="6" t="n"/>
    </row>
    <row r="18">
      <c r="B18" t="inlineStr">
        <is>
          <t>Other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6" t="n"/>
      <c r="Y18" s="6" t="n"/>
      <c r="Z18" s="6" t="n"/>
      <c r="AA18" s="6" t="n"/>
      <c r="AB18" s="6" t="n"/>
    </row>
    <row r="19">
      <c r="B19" t="inlineStr">
        <is>
          <t>Recurring revenues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6" t="n"/>
      <c r="Y19" s="6" t="n"/>
      <c r="Z19" s="6" t="n"/>
      <c r="AA19" s="6" t="n"/>
      <c r="AB19" s="6" t="n"/>
    </row>
    <row r="20">
      <c r="B20" t="inlineStr">
        <is>
          <t>Non-recurring revenues</t>
        </is>
      </c>
    </row>
    <row r="22"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6" t="n"/>
      <c r="Y22" s="6" t="n"/>
      <c r="Z22" s="6" t="n"/>
      <c r="AA22" s="6" t="n"/>
      <c r="AB22" s="6" t="n"/>
    </row>
    <row r="23"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6" t="n"/>
      <c r="Y23" s="6" t="n"/>
      <c r="Z23" s="6" t="n"/>
      <c r="AA23" s="6" t="n"/>
      <c r="AB23" s="6" t="n"/>
    </row>
    <row r="24"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6" t="n"/>
      <c r="Y24" s="6" t="n"/>
      <c r="Z24" s="6" t="n"/>
      <c r="AA24" s="6" t="n"/>
      <c r="AB24" s="6" t="n"/>
    </row>
    <row r="25"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6" t="n"/>
      <c r="Y25" s="6" t="n"/>
      <c r="Z25" s="6" t="n"/>
      <c r="AA25" s="6" t="n"/>
      <c r="AB25" s="6" t="n"/>
    </row>
    <row r="26"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6" t="n"/>
      <c r="Y26" s="6" t="n"/>
      <c r="Z26" s="6" t="n"/>
      <c r="AA26" s="6" t="n"/>
      <c r="AB26" s="6" t="n"/>
    </row>
    <row r="27"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6" t="n"/>
      <c r="Y27" s="6" t="n"/>
      <c r="Z27" s="6" t="n"/>
      <c r="AA27" s="6" t="n"/>
      <c r="AB27" s="6" t="n"/>
    </row>
    <row r="28">
      <c r="B28" t="inlineStr">
        <is>
          <t>Recurring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6" t="n">
        <v>2143</v>
      </c>
      <c r="Y28" s="6" t="n"/>
      <c r="Z28" s="6" t="n"/>
      <c r="AA28" s="6" t="n">
        <v>2331</v>
      </c>
      <c r="AB28" s="6" t="n">
        <v>2377</v>
      </c>
    </row>
    <row r="29">
      <c r="B29" t="inlineStr">
        <is>
          <t>Non-Recurring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6" t="n">
        <v>113</v>
      </c>
      <c r="Y29" s="6" t="n"/>
      <c r="Z29" s="6" t="n"/>
      <c r="AA29" s="6" t="n">
        <v>113</v>
      </c>
      <c r="AB29" s="6" t="n">
        <v>248</v>
      </c>
    </row>
    <row r="30">
      <c r="B30" s="9" t="inlineStr">
        <is>
          <t>Revenue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11">
        <f>SUM(X28:X29)</f>
        <v/>
      </c>
      <c r="Y30" s="11">
        <f>SUM(Y28:Y29)</f>
        <v/>
      </c>
      <c r="Z30" s="11">
        <f>SUM(Z28:Z29)</f>
        <v/>
      </c>
      <c r="AA30" s="11">
        <f>SUM(AA28:AA29)</f>
        <v/>
      </c>
      <c r="AB30" s="11">
        <f>SUM(AB28:AB29)</f>
        <v/>
      </c>
    </row>
    <row r="31">
      <c r="B31" t="inlineStr">
        <is>
          <t>Cost of Rev</t>
        </is>
      </c>
      <c r="X31" s="6" t="n">
        <v>1084</v>
      </c>
      <c r="Y31" s="6" t="n"/>
      <c r="Z31" s="6" t="n"/>
      <c r="AA31" s="6" t="n">
        <v>1186</v>
      </c>
      <c r="AB31" s="6" t="n">
        <v>1230</v>
      </c>
    </row>
    <row r="32">
      <c r="B32" s="9" t="inlineStr">
        <is>
          <t>Gross profit</t>
        </is>
      </c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11">
        <f>X30-X31</f>
        <v/>
      </c>
      <c r="Y32" s="11">
        <f>Y30-Y31</f>
        <v/>
      </c>
      <c r="Z32" s="11">
        <f>Z30-Z31</f>
        <v/>
      </c>
      <c r="AA32" s="11">
        <f>AA30-AA31</f>
        <v/>
      </c>
      <c r="AB32" s="11">
        <f>AB30-AB31</f>
        <v/>
      </c>
    </row>
    <row r="33">
      <c r="B33" t="inlineStr">
        <is>
          <t>S&amp;M</t>
        </is>
      </c>
      <c r="X33" s="6" t="n">
        <v>221</v>
      </c>
      <c r="Y33" s="6" t="n"/>
      <c r="Z33" s="6" t="n"/>
      <c r="AA33" s="6" t="n">
        <v>241</v>
      </c>
      <c r="AB33" s="6" t="n">
        <v>239</v>
      </c>
    </row>
    <row r="34">
      <c r="B34" t="inlineStr">
        <is>
          <t>G&amp;A</t>
        </is>
      </c>
      <c r="X34" s="6" t="n">
        <v>451</v>
      </c>
      <c r="Y34" s="6" t="n"/>
      <c r="Z34" s="6" t="n"/>
      <c r="AA34" s="6" t="n">
        <v>444</v>
      </c>
      <c r="AB34" s="6" t="n">
        <v>462</v>
      </c>
    </row>
    <row r="35">
      <c r="B35" t="inlineStr">
        <is>
          <t>Restructuring / Exit charges</t>
        </is>
      </c>
      <c r="X35" s="6" t="n">
        <v>2</v>
      </c>
      <c r="Y35" s="6" t="n"/>
      <c r="Z35" s="6" t="n"/>
      <c r="AA35" s="6" t="n">
        <v>6</v>
      </c>
      <c r="AB35" s="6" t="n">
        <v>6</v>
      </c>
    </row>
    <row r="36">
      <c r="B36" t="inlineStr">
        <is>
          <t>Transaction costs</t>
        </is>
      </c>
      <c r="X36" s="6" t="n">
        <v>3</v>
      </c>
      <c r="Y36" s="6" t="n"/>
      <c r="Z36" s="6" t="n"/>
      <c r="AA36" s="6" t="n">
        <v>8</v>
      </c>
      <c r="AB36" s="6" t="n">
        <v>3</v>
      </c>
    </row>
    <row r="37">
      <c r="B37" t="inlineStr">
        <is>
          <t>Impairment charges</t>
        </is>
      </c>
      <c r="X37" s="6" t="n">
        <v>1</v>
      </c>
      <c r="AA37" s="6" t="n">
        <v>2</v>
      </c>
      <c r="AB37" s="6" t="n">
        <v>17</v>
      </c>
    </row>
    <row r="38">
      <c r="B38" t="inlineStr">
        <is>
          <t>(Gain) loss on assets</t>
        </is>
      </c>
      <c r="X38" s="6" t="n">
        <v>0</v>
      </c>
      <c r="AA38" s="6" t="n">
        <v>-20</v>
      </c>
      <c r="AB38" s="6" t="n">
        <v>3</v>
      </c>
    </row>
    <row r="39">
      <c r="B39" t="inlineStr">
        <is>
          <t>Opex</t>
        </is>
      </c>
      <c r="X39" s="4">
        <f>SUM(X33:X38)</f>
        <v/>
      </c>
      <c r="Y39" s="4">
        <f>SUM(Y33:Y38)</f>
        <v/>
      </c>
      <c r="Z39" s="4">
        <f>SUM(Z33:Z38)</f>
        <v/>
      </c>
      <c r="AA39" s="4">
        <f>SUM(AA33:AA38)</f>
        <v/>
      </c>
      <c r="AB39" s="4">
        <f>SUM(AB33:AB38)</f>
        <v/>
      </c>
    </row>
    <row r="40">
      <c r="B40" s="9" t="inlineStr">
        <is>
          <t>Operating Income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10">
        <f>X32-X39</f>
        <v/>
      </c>
      <c r="Y40" s="10">
        <f>Y32-Y39</f>
        <v/>
      </c>
      <c r="Z40" s="10">
        <f>Z32-Z39</f>
        <v/>
      </c>
      <c r="AA40" s="10">
        <f>AA32-AA39</f>
        <v/>
      </c>
      <c r="AB40" s="10">
        <f>AB32-AB39</f>
        <v/>
      </c>
    </row>
    <row r="46">
      <c r="B46" t="inlineStr">
        <is>
          <t>Gross Margin</t>
        </is>
      </c>
      <c r="X46" s="7">
        <f>X32/X30</f>
        <v/>
      </c>
      <c r="Y46" s="7">
        <f>Y32/Y30</f>
        <v/>
      </c>
      <c r="Z46" s="7">
        <f>Z32/Z30</f>
        <v/>
      </c>
      <c r="AA46" s="7">
        <f>AA32/AA30</f>
        <v/>
      </c>
      <c r="AB46" s="7">
        <f>AB32/AB30</f>
        <v/>
      </c>
    </row>
    <row r="47">
      <c r="B47" t="inlineStr">
        <is>
          <t>Operating Margin</t>
        </is>
      </c>
      <c r="X47" s="8">
        <f>X40/X30</f>
        <v/>
      </c>
      <c r="Y47" s="8">
        <f>Y40/Y30</f>
        <v/>
      </c>
      <c r="Z47" s="8">
        <f>Z40/Z30</f>
        <v/>
      </c>
      <c r="AA47" s="8">
        <f>AA40/AA30</f>
        <v/>
      </c>
      <c r="AB47" s="8">
        <f>AB40/AB30</f>
        <v/>
      </c>
    </row>
    <row r="54">
      <c r="B54" t="inlineStr">
        <is>
          <t>Cash</t>
        </is>
      </c>
    </row>
    <row r="55">
      <c r="B55" t="inlineStr">
        <is>
          <t>ST Investments</t>
        </is>
      </c>
    </row>
    <row r="56">
      <c r="B56" t="inlineStr">
        <is>
          <t>AR</t>
        </is>
      </c>
    </row>
    <row r="57">
      <c r="B57" t="inlineStr">
        <is>
          <t>Other</t>
        </is>
      </c>
    </row>
    <row r="58">
      <c r="B58" t="inlineStr">
        <is>
          <t>Current Assets</t>
        </is>
      </c>
    </row>
    <row r="59">
      <c r="B59" t="inlineStr">
        <is>
          <t>PPE</t>
        </is>
      </c>
    </row>
    <row r="60">
      <c r="B60" t="inlineStr">
        <is>
          <t>Operating Lease ROU</t>
        </is>
      </c>
    </row>
    <row r="61">
      <c r="B61" t="inlineStr">
        <is>
          <t>Goodwill</t>
        </is>
      </c>
    </row>
    <row r="62">
      <c r="B62" t="inlineStr">
        <is>
          <t>Intangible</t>
        </is>
      </c>
    </row>
    <row r="63">
      <c r="B63" t="inlineStr">
        <is>
          <t>Other</t>
        </is>
      </c>
    </row>
    <row r="64">
      <c r="B64" t="inlineStr">
        <is>
          <t>Assets</t>
        </is>
      </c>
    </row>
    <row r="66">
      <c r="B66" t="inlineStr">
        <is>
          <t>AP</t>
        </is>
      </c>
    </row>
    <row r="67">
      <c r="B67" t="inlineStr">
        <is>
          <t>Accrued PPE</t>
        </is>
      </c>
    </row>
    <row r="68">
      <c r="B68" t="inlineStr">
        <is>
          <t>Current Operating Lease</t>
        </is>
      </c>
    </row>
    <row r="69">
      <c r="B69" t="inlineStr">
        <is>
          <t>Current Finance Lease</t>
        </is>
      </c>
    </row>
    <row r="70">
      <c r="B70" t="inlineStr">
        <is>
          <t>Current Mortgage + Loans</t>
        </is>
      </c>
    </row>
    <row r="71">
      <c r="B71" t="inlineStr">
        <is>
          <t>Current senior notes</t>
        </is>
      </c>
    </row>
    <row r="72">
      <c r="B72" t="inlineStr">
        <is>
          <t>Current Liabilities</t>
        </is>
      </c>
    </row>
  </sheetData>
  <hyperlinks>
    <hyperlink ref="A1" location="Main!A1" display="main"/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K2" r:id="rId9"/>
    <hyperlink xmlns:r="http://schemas.openxmlformats.org/officeDocument/2006/relationships" ref="L2" r:id="rId10"/>
    <hyperlink xmlns:r="http://schemas.openxmlformats.org/officeDocument/2006/relationships" ref="M2" r:id="rId11"/>
    <hyperlink xmlns:r="http://schemas.openxmlformats.org/officeDocument/2006/relationships" ref="N2" r:id="rId12"/>
    <hyperlink xmlns:r="http://schemas.openxmlformats.org/officeDocument/2006/relationships" ref="O2" r:id="rId13"/>
    <hyperlink xmlns:r="http://schemas.openxmlformats.org/officeDocument/2006/relationships" ref="P2" r:id="rId14"/>
    <hyperlink xmlns:r="http://schemas.openxmlformats.org/officeDocument/2006/relationships" ref="Q2" r:id="rId15"/>
    <hyperlink xmlns:r="http://schemas.openxmlformats.org/officeDocument/2006/relationships" ref="R2" r:id="rId16"/>
    <hyperlink xmlns:r="http://schemas.openxmlformats.org/officeDocument/2006/relationships" ref="S2" r:id="rId17"/>
    <hyperlink xmlns:r="http://schemas.openxmlformats.org/officeDocument/2006/relationships" ref="T2" r:id="rId18"/>
    <hyperlink xmlns:r="http://schemas.openxmlformats.org/officeDocument/2006/relationships" ref="U2" r:id="rId19"/>
    <hyperlink xmlns:r="http://schemas.openxmlformats.org/officeDocument/2006/relationships" ref="V2" r:id="rId20"/>
    <hyperlink xmlns:r="http://schemas.openxmlformats.org/officeDocument/2006/relationships" ref="W2" r:id="rId21"/>
    <hyperlink xmlns:r="http://schemas.openxmlformats.org/officeDocument/2006/relationships" ref="X2" r:id="rId22"/>
    <hyperlink xmlns:r="http://schemas.openxmlformats.org/officeDocument/2006/relationships" ref="Y2" r:id="rId23"/>
    <hyperlink xmlns:r="http://schemas.openxmlformats.org/officeDocument/2006/relationships" ref="Z2" r:id="rId24"/>
    <hyperlink xmlns:r="http://schemas.openxmlformats.org/officeDocument/2006/relationships" ref="AA2" r:id="rId25"/>
    <hyperlink xmlns:r="http://schemas.openxmlformats.org/officeDocument/2006/relationships" ref="AB2" r:id="rId26"/>
  </hyperlinks>
  <pageMargins left="0.7" right="0.7" top="0.75" bottom="0.75" header="0.3" footer="0.3"/>
  <drawing xmlns:r="http://schemas.openxmlformats.org/officeDocument/2006/relationships" r:id="rId2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5"/>
  <sheetViews>
    <sheetView workbookViewId="0">
      <selection activeCell="C13" sqref="C13"/>
    </sheetView>
  </sheetViews>
  <sheetFormatPr baseColWidth="8" defaultRowHeight="15.75" outlineLevelCol="0"/>
  <cols>
    <col width="26" bestFit="1" customWidth="1" min="2" max="2"/>
    <col width="69.125" bestFit="1" customWidth="1" min="3" max="3"/>
  </cols>
  <sheetData>
    <row r="1" ht="16.5" customHeight="1" thickBot="1"/>
    <row r="2">
      <c r="B2" s="17" t="inlineStr">
        <is>
          <t>Type</t>
        </is>
      </c>
      <c r="C2" s="18" t="inlineStr">
        <is>
          <t>Description</t>
        </is>
      </c>
    </row>
    <row r="3">
      <c r="B3" s="13" t="inlineStr">
        <is>
          <t>Enterprise</t>
        </is>
      </c>
      <c r="C3" s="14" t="inlineStr">
        <is>
          <t>Personal on prem, used internally</t>
        </is>
      </c>
    </row>
    <row r="4">
      <c r="B4" s="13" t="inlineStr">
        <is>
          <t>Colocations</t>
        </is>
      </c>
      <c r="C4" s="14" t="inlineStr">
        <is>
          <t>Company owns building, power and cooling -&gt; customers rent space + bring servers</t>
        </is>
      </c>
    </row>
    <row r="5">
      <c r="B5" s="13" t="inlineStr">
        <is>
          <t>Hyperscale</t>
        </is>
      </c>
      <c r="C5" s="14" t="n"/>
    </row>
    <row r="6">
      <c r="B6" s="13" t="inlineStr">
        <is>
          <t>Managed services / hosted dcs</t>
        </is>
      </c>
      <c r="C6" s="14" t="n"/>
    </row>
    <row r="7" ht="16.5" customHeight="1" thickBot="1">
      <c r="B7" s="15" t="inlineStr">
        <is>
          <t>Edge</t>
        </is>
      </c>
      <c r="C7" s="16" t="inlineStr">
        <is>
          <t>Small facilities to reduce latency</t>
        </is>
      </c>
    </row>
    <row r="10">
      <c r="B10" t="inlineStr">
        <is>
          <t>Reliability</t>
        </is>
      </c>
    </row>
    <row r="11">
      <c r="B11" t="inlineStr">
        <is>
          <t>Tier I</t>
        </is>
      </c>
      <c r="C11" t="n">
        <v>99.67</v>
      </c>
    </row>
    <row r="12">
      <c r="B12" t="inlineStr">
        <is>
          <t>Tier II</t>
        </is>
      </c>
      <c r="C12" t="n">
        <v>99.75</v>
      </c>
    </row>
    <row r="13">
      <c r="B13" t="inlineStr">
        <is>
          <t>Tier III</t>
        </is>
      </c>
      <c r="C13" t="n">
        <v>99.98</v>
      </c>
    </row>
    <row r="14">
      <c r="B14" t="inlineStr">
        <is>
          <t>Tier IV</t>
        </is>
      </c>
      <c r="C14" t="n">
        <v>99.995</v>
      </c>
    </row>
    <row r="15">
      <c r="C15" t="inlineStr">
        <is>
          <t>Mostly through redundancy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2026-09-13T00:33:18Z</dcterms:created>
  <dcterms:modified xsi:type="dcterms:W3CDTF">2026-09-15T19:29:47Z</dcterms:modified>
  <cp:lastModifiedBy>Dillon Walton</cp:lastModifiedBy>
</cp:coreProperties>
</file>