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llonwalton/Desktop/business/models/"/>
    </mc:Choice>
  </mc:AlternateContent>
  <xr:revisionPtr revIDLastSave="0" documentId="13_ncr:1_{627AC3AD-C584-234D-AC5E-B3C369CA081D}" xr6:coauthVersionLast="47" xr6:coauthVersionMax="47" xr10:uidLastSave="{00000000-0000-0000-0000-000000000000}"/>
  <bookViews>
    <workbookView xWindow="0" yWindow="760" windowWidth="13420" windowHeight="16940" xr2:uid="{969D4ED5-6A32-DE48-841A-E0A03F4B02B5}"/>
  </bookViews>
  <sheets>
    <sheet name="Main" sheetId="1" r:id="rId1"/>
    <sheet name="Questions" sheetId="4" r:id="rId2"/>
    <sheet name="Model" sheetId="2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68" i="2" l="1"/>
  <c r="X12" i="2"/>
  <c r="Z79" i="2"/>
  <c r="Z92" i="2" s="1"/>
  <c r="AA79" i="2"/>
  <c r="AA92" i="2" s="1"/>
  <c r="AB79" i="2"/>
  <c r="Y88" i="2"/>
  <c r="Z88" i="2"/>
  <c r="AA88" i="2"/>
  <c r="AB88" i="2"/>
  <c r="Y79" i="2"/>
  <c r="Y92" i="2" s="1"/>
  <c r="X88" i="2"/>
  <c r="X79" i="2"/>
  <c r="X92" i="2" s="1"/>
  <c r="X56" i="2"/>
  <c r="AB55" i="2"/>
  <c r="AA55" i="2"/>
  <c r="Z55" i="2"/>
  <c r="Y55" i="2"/>
  <c r="X55" i="2"/>
  <c r="Y53" i="2"/>
  <c r="Z53" i="2"/>
  <c r="AA53" i="2"/>
  <c r="AB53" i="2"/>
  <c r="X53" i="2"/>
  <c r="Y48" i="2"/>
  <c r="Z48" i="2"/>
  <c r="AA48" i="2"/>
  <c r="AB48" i="2"/>
  <c r="X48" i="2"/>
  <c r="AB45" i="2"/>
  <c r="AA45" i="2"/>
  <c r="Z45" i="2"/>
  <c r="Y45" i="2"/>
  <c r="X45" i="2"/>
  <c r="AB44" i="2"/>
  <c r="AA44" i="2"/>
  <c r="Z44" i="2"/>
  <c r="Y44" i="2"/>
  <c r="X44" i="2"/>
  <c r="Y32" i="2"/>
  <c r="Y43" i="2" s="1"/>
  <c r="Z32" i="2"/>
  <c r="Z43" i="2" s="1"/>
  <c r="AA32" i="2"/>
  <c r="AA43" i="2" s="1"/>
  <c r="AB32" i="2"/>
  <c r="AB43" i="2" s="1"/>
  <c r="X32" i="2"/>
  <c r="X43" i="2" s="1"/>
  <c r="AB30" i="2"/>
  <c r="AA30" i="2"/>
  <c r="Z30" i="2"/>
  <c r="Y30" i="2"/>
  <c r="X30" i="2"/>
  <c r="Y29" i="2"/>
  <c r="Z29" i="2"/>
  <c r="AA29" i="2"/>
  <c r="AB29" i="2"/>
  <c r="X29" i="2"/>
  <c r="L8" i="1"/>
  <c r="L7" i="1"/>
  <c r="L6" i="1"/>
  <c r="L9" i="1" l="1"/>
  <c r="AB92" i="2"/>
  <c r="X47" i="2"/>
  <c r="AA47" i="2"/>
  <c r="Y47" i="2"/>
  <c r="Z47" i="2"/>
  <c r="AB47" i="2"/>
  <c r="Y62" i="2" l="1"/>
  <c r="Y49" i="2"/>
  <c r="Y54" i="2" s="1"/>
  <c r="AB62" i="2"/>
  <c r="AB49" i="2"/>
  <c r="AB54" i="2" s="1"/>
  <c r="Z62" i="2"/>
  <c r="Z49" i="2"/>
  <c r="Z54" i="2" s="1"/>
  <c r="AA62" i="2"/>
  <c r="AA49" i="2"/>
  <c r="AA54" i="2" s="1"/>
  <c r="X62" i="2"/>
  <c r="X49" i="2"/>
  <c r="X54" i="2" s="1"/>
  <c r="AA63" i="2" l="1"/>
  <c r="AA60" i="2"/>
  <c r="AA58" i="2"/>
  <c r="X63" i="2"/>
  <c r="X58" i="2"/>
  <c r="X60" i="2"/>
  <c r="Z63" i="2"/>
  <c r="Z60" i="2"/>
  <c r="Z58" i="2"/>
  <c r="AB63" i="2"/>
  <c r="AB60" i="2"/>
  <c r="AB58" i="2"/>
  <c r="Y63" i="2"/>
  <c r="Y60" i="2"/>
  <c r="Y5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Dillon Walton</author>
  </authors>
  <commentList>
    <comment ref="C26" authorId="0" shapeId="0" xr:uid="{C5AC19FE-CD97-4247-B105-54CE2CCB2A22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q226 v3</t>
        </r>
      </text>
    </comment>
    <comment ref="C27" authorId="0" shapeId="0" xr:uid="{62359BE1-BB6F-BA4C-94EF-44C9612A9B81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q226 v3</t>
        </r>
      </text>
    </comment>
    <comment ref="C28" authorId="0" shapeId="0" xr:uid="{09414612-5B8E-F54E-B869-B183750B0F35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q226 v3</t>
        </r>
      </text>
    </comment>
    <comment ref="C29" authorId="0" shapeId="0" xr:uid="{63810956-4E6C-5744-A6FF-680D417501F9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powerwall 3p = three phase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tc={38726785-892C-804C-8FF8-DADB51549DC9}</author>
    <author>tc={925AD150-B139-6741-9EC2-6FE911D37EFF}</author>
    <author>tc={00827756-8C87-FC4E-BC39-F490C56C50B7}</author>
    <author>tc={6BB9B9F4-FBF5-9B49-8159-98C3A5C6D3BD}</author>
    <author>tc={978DD6E5-58E1-9F42-A7E1-A314658D4B6C}</author>
    <author>tc={9F91B916-055A-A946-9CCD-A1E2DB92D76A}</author>
    <author>tc={A822EA57-979C-C248-99FD-6E63FC7EFEDC}</author>
    <author>tc={DA7FB16A-BE59-1C4E-AEE1-B3F29AEC4585}</author>
    <author>tc={28B12050-6E57-1549-88E4-6182ECE76F21}</author>
    <author>tc={E50E5CDA-5BF9-BA4A-B00E-EE3CD7609C8F}</author>
    <author>tc={4ACDDBCB-916E-7242-9A04-C86391B224F5}</author>
    <author>tc={82B56D2A-B009-2049-A96C-28DAEAF35590}</author>
    <author>tc={1D287C6F-E2D2-E345-BE86-5BE0D8B9902E}</author>
    <author>tc={35C48961-CBB3-054F-AB67-BC31DA5D496E}</author>
    <author>tc={2B43781E-258D-B846-ADF9-31DF09F42242}</author>
    <author>tc={D67A7C5D-6506-2244-878D-DB7D6AF3E3A5}</author>
    <author>tc={762FEB78-F3D7-6C42-9A3A-8D6E51523308}</author>
    <author>tc={F1607007-8EEC-9642-B09C-96725A8DDB3D}</author>
    <author>tc={68BF9E4D-74F3-1E45-AB40-9313600989E6}</author>
    <author>tc={AB337D9C-E292-2143-B82D-380CAA0E7A81}</author>
    <author>tc={77FB4DF4-DAF2-6E44-9ADD-0BFD928990F8}</author>
    <author>tc={FC305755-3C2E-6748-88FA-76EFEFFEC1DA}</author>
    <author>tc={58D8461D-D8C7-F644-A557-CB2165FF1C7B}</author>
    <author>tc={F9526E8C-ABD1-B444-95D9-E6D2FD4DA32E}</author>
    <author>tc={B4213311-BB2C-BC4D-A1BC-81FAD250A680}</author>
    <author>tc={C4663125-B0BD-7E48-8EE8-B212C568F57F}</author>
    <author>Dillon Walton</author>
  </authors>
  <commentList>
    <comment ref="C2" authorId="0" shapeId="0" xr:uid="{38726785-892C-804C-8FF8-DADB51549DC9}">
      <text>
        <t>[Threaded comment]
Your version of Excel allows you to read this threaded comment; however, any edits to it will get removed if the file is opened in a newer version of Excel. Learn more: https://go.microsoft.com/fwlink/?linkid=870924
Comment:
    Q120 Tesla shareholder letter
https://digitalassets.tesla.com/tesla-contents/image/upload/IR/TSLA_Update_Letter_2020-1Q</t>
      </text>
    </comment>
    <comment ref="D2" authorId="1" shapeId="0" xr:uid="{925AD150-B139-6741-9EC2-6FE911D37EFF}">
      <text>
        <t>[Threaded comment]
Your version of Excel allows you to read this threaded comment; however, any edits to it will get removed if the file is opened in a newer version of Excel. Learn more: https://go.microsoft.com/fwlink/?linkid=870924
Comment:
    Q220 Tesla shareholder letter
https://digitalassets.tesla.com/tesla-contents/image/upload/IR/TSLA_Update_Letter_2020-2Q</t>
      </text>
    </comment>
    <comment ref="E2" authorId="2" shapeId="0" xr:uid="{00827756-8C87-FC4E-BC39-F490C56C50B7}">
      <text>
        <t>[Threaded comment]
Your version of Excel allows you to read this threaded comment; however, any edits to it will get removed if the file is opened in a newer version of Excel. Learn more: https://go.microsoft.com/fwlink/?linkid=870924
Comment:
    Q320 Tesla shareholder letter
https://digitalassets.tesla.com/tesla-contents/image/upload/IR/TSLA-Q3-2020-Update</t>
      </text>
    </comment>
    <comment ref="F2" authorId="3" shapeId="0" xr:uid="{6BB9B9F4-FBF5-9B49-8159-98C3A5C6D3BD}">
      <text>
        <t>[Threaded comment]
Your version of Excel allows you to read this threaded comment; however, any edits to it will get removed if the file is opened in a newer version of Excel. Learn more: https://go.microsoft.com/fwlink/?linkid=870924
Comment:
    Q420 Tesla shareholder letter
https://digitalassets.tesla.com/tesla-contents/image/upload/IR/TSLA-Q4-2020-Update</t>
      </text>
    </comment>
    <comment ref="G2" authorId="4" shapeId="0" xr:uid="{978DD6E5-58E1-9F42-A7E1-A314658D4B6C}">
      <text>
        <t>[Threaded comment]
Your version of Excel allows you to read this threaded comment; however, any edits to it will get removed if the file is opened in a newer version of Excel. Learn more: https://go.microsoft.com/fwlink/?linkid=870924
Comment:
    Q121 Tesla shareholder letter
https://digitalassets.tesla.com/tesla-contents/image/upload/IR/TSLA-Q1-2021-Update</t>
      </text>
    </comment>
    <comment ref="H2" authorId="5" shapeId="0" xr:uid="{9F91B916-055A-A946-9CCD-A1E2DB92D76A}">
      <text>
        <t>[Threaded comment]
Your version of Excel allows you to read this threaded comment; however, any edits to it will get removed if the file is opened in a newer version of Excel. Learn more: https://go.microsoft.com/fwlink/?linkid=870924
Comment:
    Q221 Tesla shareholder letter
https://digitalassets.tesla.com/tesla-contents/image/upload/IR/TSLA-Q2-2021-Update</t>
      </text>
    </comment>
    <comment ref="I2" authorId="6" shapeId="0" xr:uid="{A822EA57-979C-C248-99FD-6E63FC7EFEDC}">
      <text>
        <t>[Threaded comment]
Your version of Excel allows you to read this threaded comment; however, any edits to it will get removed if the file is opened in a newer version of Excel. Learn more: https://go.microsoft.com/fwlink/?linkid=870924
Comment:
    Q321 Tesla shareholder letter
https://digitalassets.tesla.com/tesla-contents/image/upload/IR/TSLA-Q3-2021-Quarterly-Update</t>
      </text>
    </comment>
    <comment ref="J2" authorId="7" shapeId="0" xr:uid="{DA7FB16A-BE59-1C4E-AEE1-B3F29AEC4585}">
      <text>
        <t>[Threaded comment]
Your version of Excel allows you to read this threaded comment; however, any edits to it will get removed if the file is opened in a newer version of Excel. Learn more: https://go.microsoft.com/fwlink/?linkid=870924
Comment:
    Q421 Tesla shareholder letter
https://digitalassets.tesla.com/tesla-contents/image/upload/IR/TSLA-Q4-2021-Update</t>
      </text>
    </comment>
    <comment ref="K2" authorId="8" shapeId="0" xr:uid="{28B12050-6E57-1549-88E4-6182ECE76F21}">
      <text>
        <t>[Threaded comment]
Your version of Excel allows you to read this threaded comment; however, any edits to it will get removed if the file is opened in a newer version of Excel. Learn more: https://go.microsoft.com/fwlink/?linkid=870924
Comment:
    Q122 Tesla shareholder letter
https://digitalassets.tesla.com/tesla-contents/image/upload/IR/TSLA-Q1-2022-Update</t>
      </text>
    </comment>
    <comment ref="L2" authorId="9" shapeId="0" xr:uid="{E50E5CDA-5BF9-BA4A-B00E-EE3CD7609C8F}">
      <text>
        <t>[Threaded comment]
Your version of Excel allows you to read this threaded comment; however, any edits to it will get removed if the file is opened in a newer version of Excel. Learn more: https://go.microsoft.com/fwlink/?linkid=870924
Comment:
    Q222 Tesla shareholder letter
https://digitalassets.tesla.com/tesla-contents/image/upload/IR/TSLA-Q2-2022-Update</t>
      </text>
    </comment>
    <comment ref="M2" authorId="10" shapeId="0" xr:uid="{4ACDDBCB-916E-7242-9A04-C86391B224F5}">
      <text>
        <t>[Threaded comment]
Your version of Excel allows you to read this threaded comment; however, any edits to it will get removed if the file is opened in a newer version of Excel. Learn more: https://go.microsoft.com/fwlink/?linkid=870924
Comment:
    Q322 Tesla shareholder letter
https://digitalassets.tesla.com/tesla-contents/image/upload/IR/TSLA-Q3-2022-Update</t>
      </text>
    </comment>
    <comment ref="N2" authorId="11" shapeId="0" xr:uid="{82B56D2A-B009-2049-A96C-28DAEAF35590}">
      <text>
        <t>[Threaded comment]
Your version of Excel allows you to read this threaded comment; however, any edits to it will get removed if the file is opened in a newer version of Excel. Learn more: https://go.microsoft.com/fwlink/?linkid=870924
Comment:
    Q422 Tesla shareholder letter
https://digitalassets.tesla.com/tesla-contents/image/upload/IR/TSLA-Q4-2022-Update</t>
      </text>
    </comment>
    <comment ref="O2" authorId="12" shapeId="0" xr:uid="{1D287C6F-E2D2-E345-BE86-5BE0D8B9902E}">
      <text>
        <t>[Threaded comment]
Your version of Excel allows you to read this threaded comment; however, any edits to it will get removed if the file is opened in a newer version of Excel. Learn more: https://go.microsoft.com/fwlink/?linkid=870924
Comment:
    Q123 Tesla shareholder letter
https://digitalassets.tesla.com/tesla-contents/image/upload/IR/TSLA-Q1-2023-Update</t>
      </text>
    </comment>
    <comment ref="P2" authorId="13" shapeId="0" xr:uid="{35C48961-CBB3-054F-AB67-BC31DA5D496E}">
      <text>
        <t>[Threaded comment]
Your version of Excel allows you to read this threaded comment; however, any edits to it will get removed if the file is opened in a newer version of Excel. Learn more: https://go.microsoft.com/fwlink/?linkid=870924
Comment:
    Q223 Tesla shareholder letter
https://digitalassets.tesla.com/tesla-contents/image/upload/IR/TSLA-Q2-2023-Update.pdf</t>
      </text>
    </comment>
    <comment ref="Q2" authorId="14" shapeId="0" xr:uid="{2B43781E-258D-B846-ADF9-31DF09F42242}">
      <text>
        <t>[Threaded comment]
Your version of Excel allows you to read this threaded comment; however, any edits to it will get removed if the file is opened in a newer version of Excel. Learn more: https://go.microsoft.com/fwlink/?linkid=870924
Comment:
    Q323 Tesla shareholder letter
https://digitalassets.tesla.com/tesla-contents/image/upload/IR/TSLA-Q3-2023-Update-3.pdf</t>
      </text>
    </comment>
    <comment ref="R2" authorId="15" shapeId="0" xr:uid="{D67A7C5D-6506-2244-878D-DB7D6AF3E3A5}">
      <text>
        <t>[Threaded comment]
Your version of Excel allows you to read this threaded comment; however, any edits to it will get removed if the file is opened in a newer version of Excel. Learn more: https://go.microsoft.com/fwlink/?linkid=870924
Comment:
    Q423 Tesla shareholder letter
https://digitalassets.tesla.com/tesla-contents/image/upload/IR/TSLA-Q4-2023-Update.pdf</t>
      </text>
    </comment>
    <comment ref="S2" authorId="16" shapeId="0" xr:uid="{762FEB78-F3D7-6C42-9A3A-8D6E51523308}">
      <text>
        <t>[Threaded comment]
Your version of Excel allows you to read this threaded comment; however, any edits to it will get removed if the file is opened in a newer version of Excel. Learn more: https://go.microsoft.com/fwlink/?linkid=870924
Comment:
    Q124 Tesla shareholder letter
https://digitalassets.tesla.com/tesla-contents/image/upload/IR/TSLA-Q1-2024-Update.pdf</t>
      </text>
    </comment>
    <comment ref="T2" authorId="17" shapeId="0" xr:uid="{F1607007-8EEC-9642-B09C-96725A8DDB3D}">
      <text>
        <t>[Threaded comment]
Your version of Excel allows you to read this threaded comment; however, any edits to it will get removed if the file is opened in a newer version of Excel. Learn more: https://go.microsoft.com/fwlink/?linkid=870924
Comment:
    Q224 Tesla shareholder letter
https://digitalassets.tesla.com/tesla-contents/image/upload/IR/TSLA-Q2-2024-Update.pdf</t>
      </text>
    </comment>
    <comment ref="U2" authorId="18" shapeId="0" xr:uid="{68BF9E4D-74F3-1E45-AB40-9313600989E6}">
      <text>
        <t>[Threaded comment]
Your version of Excel allows you to read this threaded comment; however, any edits to it will get removed if the file is opened in a newer version of Excel. Learn more: https://go.microsoft.com/fwlink/?linkid=870924
Comment:
    Q324 Tesla shareholder letter
https://digitalassets.tesla.com/tesla-contents/image/upload/IR/TSLA-Q3-2024-Update.pdf</t>
      </text>
    </comment>
    <comment ref="V2" authorId="19" shapeId="0" xr:uid="{AB337D9C-E292-2143-B82D-380CAA0E7A81}">
      <text>
        <t>[Threaded comment]
Your version of Excel allows you to read this threaded comment; however, any edits to it will get removed if the file is opened in a newer version of Excel. Learn more: https://go.microsoft.com/fwlink/?linkid=870924
Comment:
    Q424 Tesla shareholder letter
https://digitalassets.tesla.com/tesla-contents/image/upload/IR/TSLA-Q4-2024-Update.pdf</t>
      </text>
    </comment>
    <comment ref="W2" authorId="20" shapeId="0" xr:uid="{77FB4DF4-DAF2-6E44-9ADD-0BFD928990F8}">
      <text>
        <t>[Threaded comment]
Your version of Excel allows you to read this threaded comment; however, any edits to it will get removed if the file is opened in a newer version of Excel. Learn more: https://go.microsoft.com/fwlink/?linkid=870924
Comment:
    Q125 Tesla shareholder letter
https://digitalassets.tesla.com/tesla-contents/image/upload/IR/IR/TSLA-Q1-2025-Update.pdf</t>
      </text>
    </comment>
    <comment ref="X2" authorId="21" shapeId="0" xr:uid="{FC305755-3C2E-6748-88FA-76EFEFFEC1DA}">
      <text>
        <t>[Threaded comment]
Your version of Excel allows you to read this threaded comment; however, any edits to it will get removed if the file is opened in a newer version of Excel. Learn more: https://go.microsoft.com/fwlink/?linkid=870924
Comment:
    Q225 Tesla shareholder letter
https://www.tesla.com/sites/default/files/downloads/TSLA-Q2-2025-Update.pdf</t>
      </text>
    </comment>
    <comment ref="Y2" authorId="22" shapeId="0" xr:uid="{58D8461D-D8C7-F644-A557-CB2165FF1C7B}">
      <text>
        <t>[Threaded comment]
Your version of Excel allows you to read this threaded comment; however, any edits to it will get removed if the file is opened in a newer version of Excel. Learn more: https://go.microsoft.com/fwlink/?linkid=870924
Comment:
    Q325 Tesla shareholder letter
https://assets-ir.tesla.com/tesla-contents/IR/TSLA-Q3-2025-Update.pdf</t>
      </text>
    </comment>
    <comment ref="Z2" authorId="23" shapeId="0" xr:uid="{F9526E8C-ABD1-B444-95D9-E6D2FD4DA32E}">
      <text>
        <t>[Threaded comment]
Your version of Excel allows you to read this threaded comment; however, any edits to it will get removed if the file is opened in a newer version of Excel. Learn more: https://go.microsoft.com/fwlink/?linkid=870924
Comment:
    Q425 Tesla shareholder letter
https://assets-ir.tesla.com/tesla-contents/IR/TSLA-Q4-2025-Update.pdf</t>
      </text>
    </comment>
    <comment ref="AA2" authorId="24" shapeId="0" xr:uid="{B4213311-BB2C-BC4D-A1BC-81FAD250A680}">
      <text>
        <t>[Threaded comment]
Your version of Excel allows you to read this threaded comment; however, any edits to it will get removed if the file is opened in a newer version of Excel. Learn more: https://go.microsoft.com/fwlink/?linkid=870924
Comment:
    Q126 Tesla shareholder letter
https://assets-ir.tesla.com/tesla-contents/IR/TSLA-Q1-2026-Update.pdf</t>
      </text>
    </comment>
    <comment ref="AB2" authorId="25" shapeId="0" xr:uid="{C4663125-B0BD-7E48-8EE8-B212C568F57F}">
      <text>
        <t>[Threaded comment]
Your version of Excel allows you to read this threaded comment; however, any edits to it will get removed if the file is opened in a newer version of Excel. Learn more: https://go.microsoft.com/fwlink/?linkid=870924
Comment:
    Q226 Tesla shareholder letter
https://assets-ir.tesla.com/tesla-contents/IR/TSLA-Q2-2026-Update.pdf</t>
      </text>
    </comment>
    <comment ref="B72" authorId="26" shapeId="0" xr:uid="{AC8DE0E4-639A-984D-AC99-F9922FE5CB6D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Book value lease assets</t>
        </r>
      </text>
    </comment>
    <comment ref="B73" authorId="26" shapeId="0" xr:uid="{D6126DBB-7434-9D4F-B554-4C63A31DF33F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Book value of leased assets</t>
        </r>
      </text>
    </comment>
  </commentList>
</comments>
</file>

<file path=xl/sharedStrings.xml><?xml version="1.0" encoding="utf-8"?>
<sst xmlns="http://schemas.openxmlformats.org/spreadsheetml/2006/main" count="146" uniqueCount="138">
  <si>
    <t>Revenue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</si>
  <si>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</si>
  <si>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</si>
  <si>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</si>
  <si>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</si>
  <si>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</si>
  <si>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</si>
  <si>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</si>
  <si>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</si>
  <si>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</si>
  <si>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</si>
  <si>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</si>
  <si>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</si>
  <si>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</si>
  <si>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</si>
  <si>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</si>
  <si>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</si>
  <si>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</si>
  <si>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</si>
  <si>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</si>
  <si>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</si>
  <si>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</si>
  <si>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</si>
  <si>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</si>
  <si>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</si>
  <si>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</si>
  <si>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</si>
  <si>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</si>
  <si>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Q426</t>
  </si>
  <si>
    <t>Q127</t>
  </si>
  <si>
    <t>Q227</t>
  </si>
  <si>
    <t>Q327</t>
  </si>
  <si>
    <t>Q427</t>
  </si>
  <si>
    <t>Q128</t>
  </si>
  <si>
    <t>Q228</t>
  </si>
  <si>
    <t>Q328</t>
  </si>
  <si>
    <t>Q428</t>
  </si>
  <si>
    <t>Price</t>
  </si>
  <si>
    <t>s/o</t>
  </si>
  <si>
    <t>mkt cap</t>
  </si>
  <si>
    <t>cash</t>
  </si>
  <si>
    <t>debt</t>
  </si>
  <si>
    <t>ev</t>
  </si>
  <si>
    <t>Automotive</t>
  </si>
  <si>
    <t>Energy Generation + Sorage</t>
  </si>
  <si>
    <t>Auto Sales</t>
  </si>
  <si>
    <t>Auto Reg Credits</t>
  </si>
  <si>
    <t>Auto Leasing</t>
  </si>
  <si>
    <t>Services + other</t>
  </si>
  <si>
    <t>Auto Sales COGs</t>
  </si>
  <si>
    <t>Gross Margin</t>
  </si>
  <si>
    <t>Auto Leasing COGs</t>
  </si>
  <si>
    <t>Energy Generation + Sorage COGS</t>
  </si>
  <si>
    <t>Services + other COGs</t>
  </si>
  <si>
    <t>COGs</t>
  </si>
  <si>
    <t>R&amp;D</t>
  </si>
  <si>
    <t>SG&amp;A</t>
  </si>
  <si>
    <t>Restructuring</t>
  </si>
  <si>
    <t>Opex</t>
  </si>
  <si>
    <t>Operating Margin</t>
  </si>
  <si>
    <t>Operating profits</t>
  </si>
  <si>
    <t>Gross Profit</t>
  </si>
  <si>
    <t>Energy + Storage Margin</t>
  </si>
  <si>
    <t>Services Margin</t>
  </si>
  <si>
    <t>Auto Margin</t>
  </si>
  <si>
    <t>Auto Sales Margin</t>
  </si>
  <si>
    <t>Auto Leasing Margin</t>
  </si>
  <si>
    <t>Other</t>
  </si>
  <si>
    <t>Taxes</t>
  </si>
  <si>
    <t>Tax rate</t>
  </si>
  <si>
    <t>Net income</t>
  </si>
  <si>
    <t>Interest Income (loss)</t>
  </si>
  <si>
    <t>Other Income (loss)</t>
  </si>
  <si>
    <t>Cash</t>
  </si>
  <si>
    <t>AR</t>
  </si>
  <si>
    <t>Inventory</t>
  </si>
  <si>
    <t>Prepaid Expenses</t>
  </si>
  <si>
    <t>Operating lease vehicles</t>
  </si>
  <si>
    <t>Energy Gen + Storage Syst</t>
  </si>
  <si>
    <t>PP&amp;E</t>
  </si>
  <si>
    <t>Operating lease right-of-use</t>
  </si>
  <si>
    <t>Digital assets</t>
  </si>
  <si>
    <t>Defered tax</t>
  </si>
  <si>
    <t>Assets</t>
  </si>
  <si>
    <t>AP</t>
  </si>
  <si>
    <t>Accrued Liabilities</t>
  </si>
  <si>
    <t>Debt + finance lease (current)</t>
  </si>
  <si>
    <t>Debt + finance lease (net of current)</t>
  </si>
  <si>
    <t>Deferred Rev (current)</t>
  </si>
  <si>
    <t>Deferred Rev (net of current)</t>
  </si>
  <si>
    <t>Other LT liabilities</t>
  </si>
  <si>
    <t>Liabilities</t>
  </si>
  <si>
    <t>SE</t>
  </si>
  <si>
    <t>Model 3/Y production</t>
  </si>
  <si>
    <t>Other models production</t>
  </si>
  <si>
    <t>Total</t>
  </si>
  <si>
    <t>Model 3/Y deliveries</t>
  </si>
  <si>
    <t xml:space="preserve">Other model </t>
  </si>
  <si>
    <t>Storage Deployed (GWh)</t>
  </si>
  <si>
    <t>Manufacturing</t>
  </si>
  <si>
    <t>California</t>
  </si>
  <si>
    <t>Shanghai</t>
  </si>
  <si>
    <t>Berlin</t>
  </si>
  <si>
    <t>Texas</t>
  </si>
  <si>
    <t>CA</t>
  </si>
  <si>
    <t>Model 3 / Model Y</t>
  </si>
  <si>
    <t>Model 3</t>
  </si>
  <si>
    <t>Model Y</t>
  </si>
  <si>
    <t>Cybertruck</t>
  </si>
  <si>
    <t>Cybercab</t>
  </si>
  <si>
    <t>Tesla Semi</t>
  </si>
  <si>
    <t>Roadster</t>
  </si>
  <si>
    <t>Optimus</t>
  </si>
  <si>
    <t>Megablock</t>
  </si>
  <si>
    <t>Model S</t>
  </si>
  <si>
    <t>Model X</t>
  </si>
  <si>
    <t>Giga Factory</t>
  </si>
  <si>
    <t>Megafactory</t>
  </si>
  <si>
    <t>Random things</t>
  </si>
  <si>
    <t>Cathode material production</t>
  </si>
  <si>
    <t>Lithium refining</t>
  </si>
  <si>
    <t>LFP cells</t>
  </si>
  <si>
    <t>4680 cells</t>
  </si>
  <si>
    <t>Lithium Ion battery storage</t>
  </si>
  <si>
    <t>S/O</t>
  </si>
  <si>
    <t>NCI</t>
  </si>
  <si>
    <t>Redeemable NCI in subsidaries</t>
  </si>
  <si>
    <t>Brookshire, Texas</t>
  </si>
  <si>
    <t>Autobidder</t>
  </si>
  <si>
    <t>Global Markets</t>
  </si>
  <si>
    <t>Overlap between cars, batteries and charging</t>
  </si>
  <si>
    <t>Megapack 1</t>
  </si>
  <si>
    <t>Megapack 2</t>
  </si>
  <si>
    <t>Megapack 3</t>
  </si>
  <si>
    <t>Lathrop, California</t>
  </si>
  <si>
    <t>Powerwall 1</t>
  </si>
  <si>
    <t>Powerwall 2</t>
  </si>
  <si>
    <t>Powerwall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</si>
</sst>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#,##0.0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rgb="FF000000"/>
      <name val="Tahoma"/>
      <family val="2"/>
    </font>
    <font>
      <u/>
      <sz val="12"/>
      <color rgb="FF0563C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0"/>
      <color rgb="FF000000"/>
      <name val="Tahoma"/>
      <family val="2"/>
    </font>
    <font>
      <u/>
      <sz val="12"/>
      <color rgb="FF0563C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3" fontId="0" fillId="0" borderId="0" xfId="0" applyNumberFormat="1"/>
    <xf numFmtId="0" fontId="3" fillId="0" borderId="0" xfId="0" applyFont="1"/>
    <xf numFmtId="0" fontId="4" fillId="0" borderId="0" xfId="0" applyFont="1"/>
    <xf numFmtId="9" fontId="0" fillId="0" borderId="0" xfId="0" applyNumberFormat="1"/>
    <xf numFmtId="9" fontId="0" fillId="0" borderId="0" xfId="1" applyFont="1"/>
    <xf numFmtId="3" fontId="4" fillId="0" borderId="0" xfId="0" applyNumberFormat="1" applyFont="1"/>
    <xf numFmtId="0" fontId="5" fillId="0" borderId="0" xfId="0" applyFont="1"/>
    <xf numFmtId="9" fontId="5" fillId="0" borderId="0" xfId="0" applyNumberFormat="1" applyFont="1"/>
    <xf numFmtId="0" fontId="7" fillId="0" borderId="0" xfId="0" applyFont="1"/>
    <xf numFmtId="3" fontId="7" fillId="0" borderId="0" xfId="0" applyNumberFormat="1" applyFont="1"/>
    <xf numFmtId="3" fontId="5" fillId="0" borderId="0" xfId="0" applyNumberFormat="1" applyFont="1"/>
    <xf numFmtId="168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38100</xdr:colOff>
      <xdr:row>0</xdr:row>
      <xdr:rowOff>88900</xdr:rowOff>
    </xdr:from>
    <xdr:to>
      <xdr:col>28</xdr:col>
      <xdr:colOff>38100</xdr:colOff>
      <xdr:row>97</xdr:row>
      <xdr:rowOff>50800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75585CDC-7B72-4EE2-6630-4B94E900971F}"/>
            </a:ext>
          </a:extLst>
        </xdr:cNvPr>
        <xdr:cNvCxnSpPr/>
      </xdr:nvCxnSpPr>
      <xdr:spPr>
        <a:xfrm>
          <a:off x="23152100" y="88900"/>
          <a:ext cx="0" cy="74803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illon Walton" id="{72341B3D-64ED-DE40-92E1-1286D6A616CD}" userId="S::dillon.walton@apexcleanenergy.com::d6a318a4-b905-4bee-a20f-e7b3b62104d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" dT="2026-08-29T01:38:23.16" personId="{72341B3D-64ED-DE40-92E1-1286D6A616CD}" id="{38726785-892C-804C-8FF8-DADB51549DC9}">
    <text>Q120 Tesla shareholder letter
https://digitalassets.tesla.com/tesla-contents/image/upload/IR/TSLA_Update_Letter_2020-1Q</text>
  </threadedComment>
  <threadedComment ref="D2" dT="2026-08-29T01:38:23.18" personId="{72341B3D-64ED-DE40-92E1-1286D6A616CD}" id="{925AD150-B139-6741-9EC2-6FE911D37EFF}">
    <text>Q220 Tesla shareholder letter
https://digitalassets.tesla.com/tesla-contents/image/upload/IR/TSLA_Update_Letter_2020-2Q</text>
  </threadedComment>
  <threadedComment ref="E2" dT="2026-08-29T01:38:23.18" personId="{72341B3D-64ED-DE40-92E1-1286D6A616CD}" id="{00827756-8C87-FC4E-BC39-F490C56C50B7}">
    <text>Q320 Tesla shareholder letter
https://digitalassets.tesla.com/tesla-contents/image/upload/IR/TSLA-Q3-2020-Update</text>
  </threadedComment>
  <threadedComment ref="F2" dT="2026-08-29T01:38:23.18" personId="{72341B3D-64ED-DE40-92E1-1286D6A616CD}" id="{6BB9B9F4-FBF5-9B49-8159-98C3A5C6D3BD}">
    <text>Q420 Tesla shareholder letter
https://digitalassets.tesla.com/tesla-contents/image/upload/IR/TSLA-Q4-2020-Update</text>
  </threadedComment>
  <threadedComment ref="G2" dT="2026-08-29T01:38:23.18" personId="{72341B3D-64ED-DE40-92E1-1286D6A616CD}" id="{978DD6E5-58E1-9F42-A7E1-A314658D4B6C}">
    <text>Q121 Tesla shareholder letter
https://digitalassets.tesla.com/tesla-contents/image/upload/IR/TSLA-Q1-2021-Update</text>
  </threadedComment>
  <threadedComment ref="H2" dT="2026-08-29T01:38:23.18" personId="{72341B3D-64ED-DE40-92E1-1286D6A616CD}" id="{9F91B916-055A-A946-9CCD-A1E2DB92D76A}">
    <text>Q221 Tesla shareholder letter
https://digitalassets.tesla.com/tesla-contents/image/upload/IR/TSLA-Q2-2021-Update</text>
  </threadedComment>
  <threadedComment ref="I2" dT="2026-08-29T01:38:23.18" personId="{72341B3D-64ED-DE40-92E1-1286D6A616CD}" id="{A822EA57-979C-C248-99FD-6E63FC7EFEDC}">
    <text>Q321 Tesla shareholder letter
https://digitalassets.tesla.com/tesla-contents/image/upload/IR/TSLA-Q3-2021-Quarterly-Update</text>
  </threadedComment>
  <threadedComment ref="J2" dT="2026-08-29T01:38:23.18" personId="{72341B3D-64ED-DE40-92E1-1286D6A616CD}" id="{DA7FB16A-BE59-1C4E-AEE1-B3F29AEC4585}">
    <text>Q421 Tesla shareholder letter
https://digitalassets.tesla.com/tesla-contents/image/upload/IR/TSLA-Q4-2021-Update</text>
  </threadedComment>
  <threadedComment ref="K2" dT="2026-08-29T01:38:23.18" personId="{72341B3D-64ED-DE40-92E1-1286D6A616CD}" id="{28B12050-6E57-1549-88E4-6182ECE76F21}">
    <text>Q122 Tesla shareholder letter
https://digitalassets.tesla.com/tesla-contents/image/upload/IR/TSLA-Q1-2022-Update</text>
  </threadedComment>
  <threadedComment ref="L2" dT="2026-08-29T01:38:23.19" personId="{72341B3D-64ED-DE40-92E1-1286D6A616CD}" id="{E50E5CDA-5BF9-BA4A-B00E-EE3CD7609C8F}">
    <text>Q222 Tesla shareholder letter
https://digitalassets.tesla.com/tesla-contents/image/upload/IR/TSLA-Q2-2022-Update</text>
  </threadedComment>
  <threadedComment ref="M2" dT="2026-08-29T01:38:23.19" personId="{72341B3D-64ED-DE40-92E1-1286D6A616CD}" id="{4ACDDBCB-916E-7242-9A04-C86391B224F5}">
    <text>Q322 Tesla shareholder letter
https://digitalassets.tesla.com/tesla-contents/image/upload/IR/TSLA-Q3-2022-Update</text>
  </threadedComment>
  <threadedComment ref="N2" dT="2026-08-29T01:38:23.19" personId="{72341B3D-64ED-DE40-92E1-1286D6A616CD}" id="{82B56D2A-B009-2049-A96C-28DAEAF35590}">
    <text>Q422 Tesla shareholder letter
https://digitalassets.tesla.com/tesla-contents/image/upload/IR/TSLA-Q4-2022-Update</text>
  </threadedComment>
  <threadedComment ref="O2" dT="2026-08-29T01:38:23.19" personId="{72341B3D-64ED-DE40-92E1-1286D6A616CD}" id="{1D287C6F-E2D2-E345-BE86-5BE0D8B9902E}">
    <text>Q123 Tesla shareholder letter
https://digitalassets.tesla.com/tesla-contents/image/upload/IR/TSLA-Q1-2023-Update</text>
  </threadedComment>
  <threadedComment ref="P2" dT="2026-08-29T01:38:23.19" personId="{72341B3D-64ED-DE40-92E1-1286D6A616CD}" id="{35C48961-CBB3-054F-AB67-BC31DA5D496E}">
    <text>Q223 Tesla shareholder letter
https://digitalassets.tesla.com/tesla-contents/image/upload/IR/TSLA-Q2-2023-Update.pdf</text>
  </threadedComment>
  <threadedComment ref="Q2" dT="2026-08-29T01:38:23.19" personId="{72341B3D-64ED-DE40-92E1-1286D6A616CD}" id="{2B43781E-258D-B846-ADF9-31DF09F42242}">
    <text>Q323 Tesla shareholder letter
https://digitalassets.tesla.com/tesla-contents/image/upload/IR/TSLA-Q3-2023-Update-3.pdf</text>
  </threadedComment>
  <threadedComment ref="R2" dT="2026-08-29T01:38:23.19" personId="{72341B3D-64ED-DE40-92E1-1286D6A616CD}" id="{D67A7C5D-6506-2244-878D-DB7D6AF3E3A5}">
    <text>Q423 Tesla shareholder letter
https://digitalassets.tesla.com/tesla-contents/image/upload/IR/TSLA-Q4-2023-Update.pdf</text>
  </threadedComment>
  <threadedComment ref="S2" dT="2026-08-29T01:38:23.19" personId="{72341B3D-64ED-DE40-92E1-1286D6A616CD}" id="{762FEB78-F3D7-6C42-9A3A-8D6E51523308}">
    <text>Q124 Tesla shareholder letter
https://digitalassets.tesla.com/tesla-contents/image/upload/IR/TSLA-Q1-2024-Update.pdf</text>
  </threadedComment>
  <threadedComment ref="T2" dT="2026-08-29T01:38:23.19" personId="{72341B3D-64ED-DE40-92E1-1286D6A616CD}" id="{F1607007-8EEC-9642-B09C-96725A8DDB3D}">
    <text>Q224 Tesla shareholder letter
https://digitalassets.tesla.com/tesla-contents/image/upload/IR/TSLA-Q2-2024-Update.pdf</text>
  </threadedComment>
  <threadedComment ref="U2" dT="2026-08-29T01:38:23.19" personId="{72341B3D-64ED-DE40-92E1-1286D6A616CD}" id="{68BF9E4D-74F3-1E45-AB40-9313600989E6}">
    <text>Q324 Tesla shareholder letter
https://digitalassets.tesla.com/tesla-contents/image/upload/IR/TSLA-Q3-2024-Update.pdf</text>
  </threadedComment>
  <threadedComment ref="V2" dT="2026-08-29T01:38:23.20" personId="{72341B3D-64ED-DE40-92E1-1286D6A616CD}" id="{AB337D9C-E292-2143-B82D-380CAA0E7A81}">
    <text>Q424 Tesla shareholder letter
https://digitalassets.tesla.com/tesla-contents/image/upload/IR/TSLA-Q4-2024-Update.pdf</text>
  </threadedComment>
  <threadedComment ref="W2" dT="2026-08-29T01:38:23.20" personId="{72341B3D-64ED-DE40-92E1-1286D6A616CD}" id="{77FB4DF4-DAF2-6E44-9ADD-0BFD928990F8}">
    <text>Q125 Tesla shareholder letter
https://digitalassets.tesla.com/tesla-contents/image/upload/IR/IR/TSLA-Q1-2025-Update.pdf</text>
  </threadedComment>
  <threadedComment ref="X2" dT="2026-08-29T01:38:23.20" personId="{72341B3D-64ED-DE40-92E1-1286D6A616CD}" id="{FC305755-3C2E-6748-88FA-76EFEFFEC1DA}">
    <text>Q225 Tesla shareholder letter
https://www.tesla.com/sites/default/files/downloads/TSLA-Q2-2025-Update.pdf</text>
  </threadedComment>
  <threadedComment ref="Y2" dT="2026-08-29T01:38:23.20" personId="{72341B3D-64ED-DE40-92E1-1286D6A616CD}" id="{58D8461D-D8C7-F644-A557-CB2165FF1C7B}">
    <text>Q325 Tesla shareholder letter
https://assets-ir.tesla.com/tesla-contents/IR/TSLA-Q3-2025-Update.pdf</text>
  </threadedComment>
  <threadedComment ref="Z2" dT="2026-08-29T01:38:23.20" personId="{72341B3D-64ED-DE40-92E1-1286D6A616CD}" id="{F9526E8C-ABD1-B444-95D9-E6D2FD4DA32E}">
    <text>Q425 Tesla shareholder letter
https://assets-ir.tesla.com/tesla-contents/IR/TSLA-Q4-2025-Update.pdf</text>
  </threadedComment>
  <threadedComment ref="AA2" dT="2026-08-29T01:38:23.20" personId="{72341B3D-64ED-DE40-92E1-1286D6A616CD}" id="{B4213311-BB2C-BC4D-A1BC-81FAD250A680}">
    <text>Q126 Tesla shareholder letter
https://assets-ir.tesla.com/tesla-contents/IR/TSLA-Q1-2026-Update.pdf</text>
  </threadedComment>
  <threadedComment ref="AB2" dT="2026-08-29T01:38:23.21" personId="{72341B3D-64ED-DE40-92E1-1286D6A616CD}" id="{C4663125-B0BD-7E48-8EE8-B212C568F57F}">
    <text>Q226 Tesla shareholder letter
https://assets-ir.tesla.com/tesla-contents/IR/TSLA-Q2-2026-Update.pdf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BD9ED-2B2C-2544-8EDE-5AC0250957CF}">
  <dimension ref="C4:L34"/>
  <sheetViews>
    <sheetView tabSelected="1" workbookViewId="0">
      <selection activeCell="D31" sqref="D31"/>
    </sheetView>
  </sheetViews>
  <sheetFormatPr baseColWidth="10" defaultRowHeight="16" x14ac:dyDescent="0.2"/>
  <cols>
    <col min="3" max="3" width="12.83203125" bestFit="1" customWidth="1"/>
    <col min="12" max="12" width="12.6640625" bestFit="1" customWidth="1"/>
  </cols>
  <sheetData>
    <row r="4" spans="3:12" x14ac:dyDescent="0.2">
      <c r="C4" t="s">
        <v>116</v>
      </c>
      <c r="D4" t="s">
        <v>103</v>
      </c>
      <c r="K4" t="s">
        <v>37</v>
      </c>
      <c r="L4" s="1">
        <v>348.75</v>
      </c>
    </row>
    <row r="5" spans="3:12" x14ac:dyDescent="0.2">
      <c r="C5" t="s">
        <v>117</v>
      </c>
      <c r="D5" t="s">
        <v>127</v>
      </c>
      <c r="K5" t="s">
        <v>38</v>
      </c>
      <c r="L5" s="1">
        <v>3949547.3939999999</v>
      </c>
    </row>
    <row r="6" spans="3:12" x14ac:dyDescent="0.2">
      <c r="C6" t="s">
        <v>117</v>
      </c>
      <c r="D6" t="s">
        <v>134</v>
      </c>
      <c r="K6" t="s">
        <v>39</v>
      </c>
      <c r="L6" s="1">
        <f>L5*L4</f>
        <v>1377404653.6575</v>
      </c>
    </row>
    <row r="7" spans="3:12" x14ac:dyDescent="0.2">
      <c r="C7" t="s">
        <v>128</v>
      </c>
      <c r="K7" t="s">
        <v>40</v>
      </c>
      <c r="L7" s="1">
        <f>15219+28305</f>
        <v>43524</v>
      </c>
    </row>
    <row r="8" spans="3:12" x14ac:dyDescent="0.2">
      <c r="K8" t="s">
        <v>41</v>
      </c>
      <c r="L8" s="1">
        <f>1418+7924</f>
        <v>9342</v>
      </c>
    </row>
    <row r="9" spans="3:12" x14ac:dyDescent="0.2">
      <c r="K9" t="s">
        <v>42</v>
      </c>
      <c r="L9" s="1">
        <f>L6-L7+L8</f>
        <v>1377370471.6575</v>
      </c>
    </row>
    <row r="10" spans="3:12" x14ac:dyDescent="0.2">
      <c r="C10" t="s">
        <v>99</v>
      </c>
    </row>
    <row r="11" spans="3:12" x14ac:dyDescent="0.2">
      <c r="C11" t="s">
        <v>100</v>
      </c>
    </row>
    <row r="12" spans="3:12" x14ac:dyDescent="0.2">
      <c r="C12" t="s">
        <v>101</v>
      </c>
    </row>
    <row r="13" spans="3:12" x14ac:dyDescent="0.2">
      <c r="C13" t="s">
        <v>102</v>
      </c>
    </row>
    <row r="14" spans="3:12" x14ac:dyDescent="0.2">
      <c r="C14" t="s">
        <v>103</v>
      </c>
    </row>
    <row r="15" spans="3:12" x14ac:dyDescent="0.2">
      <c r="K15" t="s">
        <v>118</v>
      </c>
    </row>
    <row r="16" spans="3:12" x14ac:dyDescent="0.2">
      <c r="K16" t="s">
        <v>119</v>
      </c>
    </row>
    <row r="17" spans="3:11" x14ac:dyDescent="0.2">
      <c r="C17" t="s">
        <v>114</v>
      </c>
      <c r="K17" t="s">
        <v>120</v>
      </c>
    </row>
    <row r="18" spans="3:11" x14ac:dyDescent="0.2">
      <c r="C18" t="s">
        <v>115</v>
      </c>
      <c r="K18" t="s">
        <v>121</v>
      </c>
    </row>
    <row r="19" spans="3:11" x14ac:dyDescent="0.2">
      <c r="C19" t="s">
        <v>106</v>
      </c>
      <c r="K19" t="s">
        <v>122</v>
      </c>
    </row>
    <row r="20" spans="3:11" x14ac:dyDescent="0.2">
      <c r="C20" t="s">
        <v>107</v>
      </c>
    </row>
    <row r="21" spans="3:11" x14ac:dyDescent="0.2">
      <c r="C21" t="s">
        <v>108</v>
      </c>
    </row>
    <row r="22" spans="3:11" x14ac:dyDescent="0.2">
      <c r="C22" t="s">
        <v>109</v>
      </c>
    </row>
    <row r="23" spans="3:11" x14ac:dyDescent="0.2">
      <c r="C23" t="s">
        <v>110</v>
      </c>
    </row>
    <row r="24" spans="3:11" x14ac:dyDescent="0.2">
      <c r="C24" t="s">
        <v>111</v>
      </c>
    </row>
    <row r="26" spans="3:11" x14ac:dyDescent="0.2">
      <c r="C26" t="s">
        <v>131</v>
      </c>
      <c r="D26" t="s">
        <v>123</v>
      </c>
    </row>
    <row r="27" spans="3:11" x14ac:dyDescent="0.2">
      <c r="C27" t="s">
        <v>132</v>
      </c>
    </row>
    <row r="28" spans="3:11" x14ac:dyDescent="0.2">
      <c r="C28" t="s">
        <v>133</v>
      </c>
    </row>
    <row r="29" spans="3:11" x14ac:dyDescent="0.2">
      <c r="C29" t="s">
        <v>135</v>
      </c>
    </row>
    <row r="30" spans="3:11" x14ac:dyDescent="0.2">
      <c r="C30" t="s">
        <v>136</v>
      </c>
    </row>
    <row r="31" spans="3:11" x14ac:dyDescent="0.2">
      <c r="C31" t="s">
        <v>137</v>
      </c>
    </row>
    <row r="32" spans="3:11" x14ac:dyDescent="0.2">
      <c r="C32" t="s">
        <v>113</v>
      </c>
    </row>
    <row r="34" spans="3:3" x14ac:dyDescent="0.2">
      <c r="C34" t="s">
        <v>112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D1473-2AA8-9C48-B00A-DBC01DC80D0B}">
  <dimension ref="B4:B11"/>
  <sheetViews>
    <sheetView workbookViewId="0">
      <selection activeCell="E37" sqref="E37"/>
    </sheetView>
  </sheetViews>
  <sheetFormatPr baseColWidth="10" defaultRowHeight="16" x14ac:dyDescent="0.2"/>
  <sheetData>
    <row r="4" spans="2:2" x14ac:dyDescent="0.2">
      <c r="B4" t="s">
        <v>99</v>
      </c>
    </row>
    <row r="5" spans="2:2" x14ac:dyDescent="0.2">
      <c r="B5" t="s">
        <v>129</v>
      </c>
    </row>
    <row r="6" spans="2:2" x14ac:dyDescent="0.2">
      <c r="B6" t="s">
        <v>128</v>
      </c>
    </row>
    <row r="7" spans="2:2" x14ac:dyDescent="0.2">
      <c r="B7" t="s">
        <v>130</v>
      </c>
    </row>
    <row r="9" spans="2:2" x14ac:dyDescent="0.2">
      <c r="B9" t="s">
        <v>131</v>
      </c>
    </row>
    <row r="10" spans="2:2" x14ac:dyDescent="0.2">
      <c r="B10" t="s">
        <v>132</v>
      </c>
    </row>
    <row r="11" spans="2:2" x14ac:dyDescent="0.2">
      <c r="B11" t="s">
        <v>133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B641C-A60E-1D48-998E-8C4C1E1253D6}">
  <dimension ref="A2:AT97"/>
  <sheetViews>
    <sheetView workbookViewId="0">
      <pane xSplit="2" ySplit="2" topLeftCell="U3" activePane="bottomRight" state="frozen"/>
      <selection pane="topRight" activeCell="C1" sqref="C1"/>
      <selection pane="bottomLeft" activeCell="A3" sqref="A3"/>
      <selection pane="bottomRight" activeCell="AB78" sqref="AB78"/>
    </sheetView>
  </sheetViews>
  <sheetFormatPr baseColWidth="10" defaultRowHeight="16" x14ac:dyDescent="0.2"/>
  <cols>
    <col min="2" max="2" width="23.5" bestFit="1" customWidth="1"/>
  </cols>
  <sheetData>
    <row r="2" spans="1:46" x14ac:dyDescent="0.2"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21</v>
      </c>
      <c r="X2" s="2" t="s">
        <v>22</v>
      </c>
      <c r="Y2" s="2" t="s">
        <v>23</v>
      </c>
      <c r="Z2" s="2" t="s">
        <v>24</v>
      </c>
      <c r="AA2" s="2" t="s">
        <v>25</v>
      </c>
      <c r="AB2" s="2" t="s">
        <v>26</v>
      </c>
      <c r="AC2" t="s">
        <v>27</v>
      </c>
      <c r="AD2" t="s">
        <v>28</v>
      </c>
      <c r="AE2" t="s">
        <v>29</v>
      </c>
      <c r="AF2" t="s">
        <v>30</v>
      </c>
      <c r="AG2" t="s">
        <v>31</v>
      </c>
      <c r="AH2" t="s">
        <v>32</v>
      </c>
      <c r="AI2" t="s">
        <v>33</v>
      </c>
      <c r="AJ2" t="s">
        <v>34</v>
      </c>
      <c r="AK2" t="s">
        <v>35</v>
      </c>
      <c r="AL2" t="s">
        <v>36</v>
      </c>
      <c r="AN2">
        <v>2024</v>
      </c>
      <c r="AO2">
        <v>2025</v>
      </c>
      <c r="AP2">
        <v>2026</v>
      </c>
      <c r="AQ2">
        <v>2027</v>
      </c>
      <c r="AR2">
        <v>2028</v>
      </c>
      <c r="AS2">
        <v>2029</v>
      </c>
      <c r="AT2">
        <v>2030</v>
      </c>
    </row>
    <row r="3" spans="1:46" x14ac:dyDescent="0.2"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46" x14ac:dyDescent="0.2">
      <c r="A4" t="s">
        <v>104</v>
      </c>
      <c r="B4" t="s">
        <v>105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46" x14ac:dyDescent="0.2">
      <c r="B5" t="s">
        <v>105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46" x14ac:dyDescent="0.2"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spans="1:46" x14ac:dyDescent="0.2"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46" x14ac:dyDescent="0.2"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1:46" x14ac:dyDescent="0.2">
      <c r="B9" s="3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46" s="7" customFormat="1" x14ac:dyDescent="0.2">
      <c r="B10" s="7" t="s">
        <v>93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">
        <v>396835</v>
      </c>
      <c r="Y10" s="1"/>
      <c r="Z10" s="1"/>
      <c r="AA10" s="1"/>
      <c r="AB10" s="1"/>
      <c r="AC10" s="1"/>
      <c r="AD10" s="1"/>
      <c r="AE10" s="1"/>
      <c r="AF10" s="11"/>
      <c r="AG10" s="11"/>
      <c r="AH10" s="11"/>
    </row>
    <row r="11" spans="1:46" s="7" customFormat="1" x14ac:dyDescent="0.2">
      <c r="B11" s="7" t="s">
        <v>94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">
        <v>13409</v>
      </c>
      <c r="Y11" s="1"/>
      <c r="Z11" s="1"/>
      <c r="AA11" s="1"/>
      <c r="AB11" s="1"/>
      <c r="AC11" s="1"/>
      <c r="AD11" s="1"/>
      <c r="AE11" s="1"/>
      <c r="AF11" s="11"/>
      <c r="AG11" s="11"/>
      <c r="AH11" s="11"/>
    </row>
    <row r="12" spans="1:46" s="7" customFormat="1" x14ac:dyDescent="0.2">
      <c r="B12" s="7" t="s">
        <v>95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1">
        <f>SUM(X10:X11)</f>
        <v>410244</v>
      </c>
      <c r="Y12" s="1"/>
      <c r="Z12" s="1"/>
      <c r="AA12" s="1"/>
      <c r="AB12" s="1"/>
      <c r="AC12" s="1"/>
      <c r="AD12" s="1"/>
      <c r="AE12" s="1"/>
    </row>
    <row r="13" spans="1:46" s="7" customFormat="1" x14ac:dyDescent="0.2"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1"/>
      <c r="Y13" s="1"/>
      <c r="Z13" s="1"/>
      <c r="AA13" s="1"/>
      <c r="AB13" s="1"/>
      <c r="AC13" s="1"/>
      <c r="AD13" s="1"/>
      <c r="AE13" s="1"/>
    </row>
    <row r="14" spans="1:46" s="7" customFormat="1" x14ac:dyDescent="0.2">
      <c r="B14" s="7" t="s">
        <v>96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1"/>
      <c r="Y14" s="1"/>
      <c r="Z14" s="1"/>
      <c r="AA14" s="1"/>
      <c r="AB14" s="1"/>
      <c r="AC14" s="1"/>
      <c r="AD14" s="1"/>
      <c r="AE14" s="1"/>
    </row>
    <row r="15" spans="1:46" s="7" customFormat="1" x14ac:dyDescent="0.2">
      <c r="B15" s="7" t="s">
        <v>97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1"/>
      <c r="Y15" s="1"/>
      <c r="Z15" s="1"/>
      <c r="AA15" s="1"/>
      <c r="AB15" s="1"/>
      <c r="AC15" s="1"/>
      <c r="AD15" s="1"/>
      <c r="AE15" s="1"/>
    </row>
    <row r="16" spans="1:46" s="7" customFormat="1" x14ac:dyDescent="0.2"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1"/>
      <c r="Y16" s="1"/>
      <c r="Z16" s="1"/>
      <c r="AA16" s="1"/>
      <c r="AB16" s="1"/>
      <c r="AC16" s="1"/>
      <c r="AD16" s="1"/>
      <c r="AE16" s="1"/>
    </row>
    <row r="17" spans="2:28" s="7" customFormat="1" x14ac:dyDescent="0.2"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</row>
    <row r="18" spans="2:28" x14ac:dyDescent="0.2">
      <c r="B18" s="3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2:28" x14ac:dyDescent="0.2">
      <c r="B19" t="s">
        <v>45</v>
      </c>
      <c r="X19" s="1">
        <v>15787</v>
      </c>
      <c r="Y19" s="1">
        <v>20359</v>
      </c>
      <c r="Z19" s="1">
        <v>16750</v>
      </c>
      <c r="AA19" s="1">
        <v>15473</v>
      </c>
      <c r="AB19" s="1">
        <v>20006</v>
      </c>
    </row>
    <row r="20" spans="2:28" x14ac:dyDescent="0.2">
      <c r="B20" t="s">
        <v>49</v>
      </c>
      <c r="X20" s="1">
        <v>13567</v>
      </c>
      <c r="Y20" s="1">
        <v>17365</v>
      </c>
      <c r="Z20" s="1">
        <v>13874</v>
      </c>
      <c r="AA20" s="1">
        <v>12616</v>
      </c>
      <c r="AB20" s="1">
        <v>16866</v>
      </c>
    </row>
    <row r="22" spans="2:28" x14ac:dyDescent="0.2">
      <c r="X22" s="1"/>
      <c r="Y22" s="1"/>
      <c r="Z22" s="1"/>
      <c r="AA22" s="1"/>
      <c r="AB22" s="1"/>
    </row>
    <row r="23" spans="2:28" x14ac:dyDescent="0.2">
      <c r="B23" t="s">
        <v>47</v>
      </c>
      <c r="X23" s="1">
        <v>435</v>
      </c>
      <c r="Y23" s="1">
        <v>429</v>
      </c>
      <c r="Z23" s="1">
        <v>401</v>
      </c>
      <c r="AA23" s="1">
        <v>381</v>
      </c>
      <c r="AB23" s="1">
        <v>364</v>
      </c>
    </row>
    <row r="24" spans="2:28" x14ac:dyDescent="0.2">
      <c r="B24" t="s">
        <v>51</v>
      </c>
      <c r="X24" s="1">
        <v>228</v>
      </c>
      <c r="Y24" s="1">
        <v>225</v>
      </c>
      <c r="Z24" s="1">
        <v>206</v>
      </c>
      <c r="AA24" s="1">
        <v>196</v>
      </c>
      <c r="AB24" s="1">
        <v>187</v>
      </c>
    </row>
    <row r="26" spans="2:28" x14ac:dyDescent="0.2">
      <c r="X26" s="1"/>
      <c r="Y26" s="1"/>
      <c r="Z26" s="1"/>
      <c r="AA26" s="1"/>
      <c r="AB26" s="1"/>
    </row>
    <row r="27" spans="2:28" x14ac:dyDescent="0.2">
      <c r="B27" t="s">
        <v>46</v>
      </c>
      <c r="X27" s="1">
        <v>439</v>
      </c>
      <c r="Y27" s="1">
        <v>417</v>
      </c>
      <c r="Z27" s="1">
        <v>542</v>
      </c>
      <c r="AA27" s="1">
        <v>380</v>
      </c>
      <c r="AB27" s="1">
        <v>146</v>
      </c>
    </row>
    <row r="28" spans="2:28" x14ac:dyDescent="0.2">
      <c r="X28" s="1"/>
      <c r="Y28" s="1"/>
      <c r="Z28" s="1"/>
      <c r="AA28" s="1"/>
      <c r="AB28" s="1"/>
    </row>
    <row r="29" spans="2:28" x14ac:dyDescent="0.2">
      <c r="B29" t="s">
        <v>65</v>
      </c>
      <c r="X29" s="5">
        <f>1-(X20/X19)</f>
        <v>0.14062203078482294</v>
      </c>
      <c r="Y29" s="5">
        <f>1-(Y20/Y19)</f>
        <v>0.14706026818606022</v>
      </c>
      <c r="Z29" s="5">
        <f>1-(Z20/Z19)</f>
        <v>0.17170149253731348</v>
      </c>
      <c r="AA29" s="5">
        <f>1-(AA20/AA19)</f>
        <v>0.18464421896206296</v>
      </c>
      <c r="AB29" s="5">
        <f>1-(AB20/AB19)</f>
        <v>0.15695291412576229</v>
      </c>
    </row>
    <row r="30" spans="2:28" x14ac:dyDescent="0.2">
      <c r="B30" t="s">
        <v>66</v>
      </c>
      <c r="X30" s="5">
        <f>1-(X24/X23)</f>
        <v>0.47586206896551719</v>
      </c>
      <c r="Y30" s="5">
        <f>1-(Y24/Y23)</f>
        <v>0.47552447552447552</v>
      </c>
      <c r="Z30" s="5">
        <f>1-(Z24/Z23)</f>
        <v>0.486284289276808</v>
      </c>
      <c r="AA30" s="5">
        <f>1-(AA24/AA23)</f>
        <v>0.48556430446194221</v>
      </c>
      <c r="AB30" s="5">
        <f>1-(AB24/AB23)</f>
        <v>0.48626373626373631</v>
      </c>
    </row>
    <row r="31" spans="2:28" x14ac:dyDescent="0.2">
      <c r="X31" s="1"/>
      <c r="Y31" s="1"/>
      <c r="Z31" s="1"/>
      <c r="AA31" s="1"/>
      <c r="AB31" s="1"/>
    </row>
    <row r="32" spans="2:28" x14ac:dyDescent="0.2">
      <c r="B32" t="s">
        <v>43</v>
      </c>
      <c r="X32" s="1">
        <f>X27+X23+X19</f>
        <v>16661</v>
      </c>
      <c r="Y32" s="1">
        <f>Y27+Y23+Y19</f>
        <v>21205</v>
      </c>
      <c r="Z32" s="1">
        <f>Z27+Z23+Z19</f>
        <v>17693</v>
      </c>
      <c r="AA32" s="1">
        <f>AA27+AA23+AA19</f>
        <v>16234</v>
      </c>
      <c r="AB32" s="1">
        <f>AB27+AB23+AB19</f>
        <v>20516</v>
      </c>
    </row>
    <row r="33" spans="2:28" x14ac:dyDescent="0.2">
      <c r="X33" s="1"/>
      <c r="Y33" s="1"/>
      <c r="Z33" s="1"/>
      <c r="AA33" s="1"/>
      <c r="AB33" s="1"/>
    </row>
    <row r="34" spans="2:28" x14ac:dyDescent="0.2">
      <c r="X34" s="1"/>
      <c r="Y34" s="1"/>
      <c r="Z34" s="1"/>
      <c r="AA34" s="1"/>
      <c r="AB34" s="1"/>
    </row>
    <row r="35" spans="2:28" x14ac:dyDescent="0.2">
      <c r="B35" t="s">
        <v>98</v>
      </c>
      <c r="X35" s="12">
        <v>9.6</v>
      </c>
      <c r="Y35" s="12">
        <v>12.5</v>
      </c>
      <c r="Z35" s="12">
        <v>14.2</v>
      </c>
      <c r="AA35" s="12">
        <v>8.8000000000000007</v>
      </c>
      <c r="AB35" s="12">
        <v>13.5</v>
      </c>
    </row>
    <row r="37" spans="2:28" x14ac:dyDescent="0.2">
      <c r="B37" t="s">
        <v>44</v>
      </c>
      <c r="X37" s="1">
        <v>2789</v>
      </c>
      <c r="Y37" s="1">
        <v>3415</v>
      </c>
      <c r="Z37" s="1">
        <v>3837</v>
      </c>
      <c r="AA37" s="1">
        <v>2408</v>
      </c>
      <c r="AB37" s="1">
        <v>3139</v>
      </c>
    </row>
    <row r="38" spans="2:28" x14ac:dyDescent="0.2">
      <c r="B38" t="s">
        <v>52</v>
      </c>
      <c r="X38" s="1">
        <v>1943</v>
      </c>
      <c r="Y38" s="1">
        <v>2342</v>
      </c>
      <c r="Z38" s="1">
        <v>2739</v>
      </c>
      <c r="AA38" s="1">
        <v>1456</v>
      </c>
      <c r="AB38" s="1">
        <v>2499</v>
      </c>
    </row>
    <row r="39" spans="2:28" x14ac:dyDescent="0.2">
      <c r="B39" s="7"/>
    </row>
    <row r="40" spans="2:28" x14ac:dyDescent="0.2">
      <c r="B40" t="s">
        <v>48</v>
      </c>
      <c r="X40" s="1">
        <v>3046</v>
      </c>
      <c r="Y40" s="1">
        <v>3475</v>
      </c>
      <c r="Z40" s="1">
        <v>3371</v>
      </c>
      <c r="AA40" s="1">
        <v>3745</v>
      </c>
      <c r="AB40" s="1">
        <v>4581</v>
      </c>
    </row>
    <row r="41" spans="2:28" x14ac:dyDescent="0.2">
      <c r="B41" t="s">
        <v>53</v>
      </c>
      <c r="X41" s="1">
        <v>2880</v>
      </c>
      <c r="Y41" s="1">
        <v>3109</v>
      </c>
      <c r="Z41" s="1">
        <v>3073</v>
      </c>
      <c r="AA41" s="1">
        <v>3399</v>
      </c>
      <c r="AB41" s="1">
        <v>3933</v>
      </c>
    </row>
    <row r="42" spans="2:28" x14ac:dyDescent="0.2">
      <c r="X42" s="5"/>
      <c r="Y42" s="5"/>
      <c r="Z42" s="5"/>
      <c r="AA42" s="5"/>
      <c r="AB42" s="5"/>
    </row>
    <row r="43" spans="2:28" x14ac:dyDescent="0.2">
      <c r="B43" t="s">
        <v>64</v>
      </c>
      <c r="X43" s="5">
        <f>1-((X24+X20)/X32)</f>
        <v>0.172018486285337</v>
      </c>
      <c r="Y43" s="5">
        <f>1-((Y24+Y20)/Y32)</f>
        <v>0.1704786606932327</v>
      </c>
      <c r="Z43" s="5">
        <f>1-((Z24+Z20)/Z32)</f>
        <v>0.20420505284575818</v>
      </c>
      <c r="AA43" s="5">
        <f>1-((AA24+AA20)/AA32)</f>
        <v>0.2107921645928299</v>
      </c>
      <c r="AB43" s="5">
        <f>1-((AB24+AB20)/AB32)</f>
        <v>0.16879508676155197</v>
      </c>
    </row>
    <row r="44" spans="2:28" x14ac:dyDescent="0.2">
      <c r="B44" t="s">
        <v>62</v>
      </c>
      <c r="X44" s="5">
        <f>1-(X38/X37)</f>
        <v>0.30333452850484044</v>
      </c>
      <c r="Y44" s="5">
        <f>1-(Y38/Y37)</f>
        <v>0.31420204978038069</v>
      </c>
      <c r="Z44" s="5">
        <f>1-(Z38/Z37)</f>
        <v>0.28616106333072711</v>
      </c>
      <c r="AA44" s="5">
        <f>1-(AA38/AA37)</f>
        <v>0.39534883720930236</v>
      </c>
      <c r="AB44" s="5">
        <f>1-(AB38/AB37)</f>
        <v>0.20388658808537752</v>
      </c>
    </row>
    <row r="45" spans="2:28" x14ac:dyDescent="0.2">
      <c r="B45" t="s">
        <v>63</v>
      </c>
      <c r="X45" s="5">
        <f>1-(X41/X40)</f>
        <v>5.4497701904136608E-2</v>
      </c>
      <c r="Y45" s="5">
        <f>1-(Y41/Y40)</f>
        <v>0.10532374100719422</v>
      </c>
      <c r="Z45" s="5">
        <f>1-(Z41/Z40)</f>
        <v>8.8401067932364241E-2</v>
      </c>
      <c r="AA45" s="5">
        <f>1-(AA41/AA40)</f>
        <v>9.2389853137516686E-2</v>
      </c>
      <c r="AB45" s="5">
        <f>1-(AB41/AB40)</f>
        <v>0.14145383104125742</v>
      </c>
    </row>
    <row r="47" spans="2:28" s="3" customFormat="1" x14ac:dyDescent="0.2">
      <c r="B47" s="3" t="s">
        <v>0</v>
      </c>
      <c r="X47" s="6">
        <f>X40+X37+X32</f>
        <v>22496</v>
      </c>
      <c r="Y47" s="3">
        <f>Y40+Y37+Y32</f>
        <v>28095</v>
      </c>
      <c r="Z47" s="3">
        <f>Z40+Z37+Z32</f>
        <v>24901</v>
      </c>
      <c r="AA47" s="3">
        <f>AA40+AA37+AA32</f>
        <v>22387</v>
      </c>
      <c r="AB47" s="3">
        <f>AB40+AB37+AB32</f>
        <v>28236</v>
      </c>
    </row>
    <row r="48" spans="2:28" x14ac:dyDescent="0.2">
      <c r="B48" t="s">
        <v>54</v>
      </c>
      <c r="X48" s="1">
        <f>X41+X38+X24+X20</f>
        <v>18618</v>
      </c>
      <c r="Y48" s="1">
        <f>Y41+Y38+Y24+Y20</f>
        <v>23041</v>
      </c>
      <c r="Z48" s="1">
        <f>Z41+Z38+Z24+Z20</f>
        <v>19892</v>
      </c>
      <c r="AA48" s="1">
        <f>AA41+AA38+AA24+AA20</f>
        <v>17667</v>
      </c>
      <c r="AB48" s="1">
        <f>AB41+AB38+AB24+AB20</f>
        <v>23485</v>
      </c>
    </row>
    <row r="49" spans="2:28" x14ac:dyDescent="0.2">
      <c r="B49" t="s">
        <v>61</v>
      </c>
      <c r="X49" s="1">
        <f>X47-X48</f>
        <v>3878</v>
      </c>
      <c r="Y49" s="1">
        <f t="shared" ref="Y49:AB49" si="0">Y47-Y48</f>
        <v>5054</v>
      </c>
      <c r="Z49" s="1">
        <f t="shared" si="0"/>
        <v>5009</v>
      </c>
      <c r="AA49" s="1">
        <f t="shared" si="0"/>
        <v>4720</v>
      </c>
      <c r="AB49" s="1">
        <f t="shared" si="0"/>
        <v>4751</v>
      </c>
    </row>
    <row r="50" spans="2:28" x14ac:dyDescent="0.2">
      <c r="B50" t="s">
        <v>55</v>
      </c>
      <c r="X50" s="1">
        <v>1589</v>
      </c>
      <c r="Y50" s="1">
        <v>1630</v>
      </c>
      <c r="Z50" s="1">
        <v>1783</v>
      </c>
      <c r="AA50" s="1">
        <v>1946</v>
      </c>
      <c r="AB50" s="1">
        <v>2371</v>
      </c>
    </row>
    <row r="51" spans="2:28" x14ac:dyDescent="0.2">
      <c r="B51" t="s">
        <v>56</v>
      </c>
      <c r="X51" s="1">
        <v>1366</v>
      </c>
      <c r="Y51" s="1">
        <v>1562</v>
      </c>
      <c r="Z51" s="1">
        <v>1655</v>
      </c>
      <c r="AA51" s="1">
        <v>1833</v>
      </c>
      <c r="AB51" s="1">
        <v>1982</v>
      </c>
    </row>
    <row r="52" spans="2:28" x14ac:dyDescent="0.2">
      <c r="B52" t="s">
        <v>57</v>
      </c>
      <c r="X52">
        <v>0</v>
      </c>
      <c r="Y52">
        <v>238</v>
      </c>
      <c r="Z52">
        <v>162</v>
      </c>
      <c r="AA52">
        <v>0</v>
      </c>
      <c r="AB52">
        <v>0</v>
      </c>
    </row>
    <row r="53" spans="2:28" x14ac:dyDescent="0.2">
      <c r="B53" t="s">
        <v>58</v>
      </c>
      <c r="X53" s="1">
        <f>SUM(X50:X52)</f>
        <v>2955</v>
      </c>
      <c r="Y53" s="1">
        <f t="shared" ref="Y53:AB53" si="1">SUM(Y50:Y52)</f>
        <v>3430</v>
      </c>
      <c r="Z53" s="1">
        <f t="shared" si="1"/>
        <v>3600</v>
      </c>
      <c r="AA53" s="1">
        <f t="shared" si="1"/>
        <v>3779</v>
      </c>
      <c r="AB53" s="1">
        <f t="shared" si="1"/>
        <v>4353</v>
      </c>
    </row>
    <row r="54" spans="2:28" x14ac:dyDescent="0.2">
      <c r="B54" t="s">
        <v>60</v>
      </c>
      <c r="X54" s="1">
        <f>X49-X53</f>
        <v>923</v>
      </c>
      <c r="Y54" s="1">
        <f t="shared" ref="Y54:AB54" si="2">Y49-Y53</f>
        <v>1624</v>
      </c>
      <c r="Z54" s="1">
        <f t="shared" si="2"/>
        <v>1409</v>
      </c>
      <c r="AA54" s="1">
        <f t="shared" si="2"/>
        <v>941</v>
      </c>
      <c r="AB54" s="1">
        <f t="shared" si="2"/>
        <v>398</v>
      </c>
    </row>
    <row r="55" spans="2:28" x14ac:dyDescent="0.2">
      <c r="B55" t="s">
        <v>71</v>
      </c>
      <c r="X55">
        <f>392-86</f>
        <v>306</v>
      </c>
      <c r="Y55">
        <f>439-76</f>
        <v>363</v>
      </c>
      <c r="Z55">
        <f>449-85</f>
        <v>364</v>
      </c>
      <c r="AA55">
        <f>434-92</f>
        <v>342</v>
      </c>
      <c r="AB55">
        <f>422-81</f>
        <v>341</v>
      </c>
    </row>
    <row r="56" spans="2:28" x14ac:dyDescent="0.2">
      <c r="B56" t="s">
        <v>72</v>
      </c>
      <c r="X56">
        <f>320</f>
        <v>320</v>
      </c>
      <c r="Y56">
        <v>-28</v>
      </c>
      <c r="Z56">
        <v>-592</v>
      </c>
      <c r="AA56">
        <v>-535</v>
      </c>
      <c r="AB56">
        <v>590</v>
      </c>
    </row>
    <row r="57" spans="2:28" x14ac:dyDescent="0.2">
      <c r="B57" t="s">
        <v>68</v>
      </c>
      <c r="X57">
        <v>359</v>
      </c>
      <c r="Y57">
        <v>570</v>
      </c>
      <c r="Z57">
        <v>325</v>
      </c>
      <c r="AA57">
        <v>257</v>
      </c>
      <c r="AB57">
        <v>201</v>
      </c>
    </row>
    <row r="58" spans="2:28" s="3" customFormat="1" x14ac:dyDescent="0.2">
      <c r="B58" s="3" t="s">
        <v>70</v>
      </c>
      <c r="X58" s="6">
        <f>X54+X55+X56-X57</f>
        <v>1190</v>
      </c>
      <c r="Y58" s="6">
        <f t="shared" ref="Y58:AB58" si="3">Y54+Y55+Y56-Y57</f>
        <v>1389</v>
      </c>
      <c r="Z58" s="6">
        <f t="shared" si="3"/>
        <v>856</v>
      </c>
      <c r="AA58" s="6">
        <f t="shared" si="3"/>
        <v>491</v>
      </c>
      <c r="AB58" s="6">
        <f t="shared" si="3"/>
        <v>1128</v>
      </c>
    </row>
    <row r="59" spans="2:28" s="3" customFormat="1" x14ac:dyDescent="0.2"/>
    <row r="60" spans="2:28" s="7" customFormat="1" x14ac:dyDescent="0.2">
      <c r="B60" s="7" t="s">
        <v>69</v>
      </c>
      <c r="X60" s="8">
        <f>X57/SUM(X54:X56)</f>
        <v>0.23176242737249839</v>
      </c>
      <c r="Y60" s="8">
        <f t="shared" ref="Y60:AB60" si="4">Y57/SUM(Y54:Y56)</f>
        <v>0.29096477794793263</v>
      </c>
      <c r="Z60" s="8">
        <f t="shared" si="4"/>
        <v>0.275190516511431</v>
      </c>
      <c r="AA60" s="8">
        <f t="shared" si="4"/>
        <v>0.34358288770053474</v>
      </c>
      <c r="AB60" s="8">
        <f t="shared" si="4"/>
        <v>0.15124153498871332</v>
      </c>
    </row>
    <row r="62" spans="2:28" x14ac:dyDescent="0.2">
      <c r="B62" t="s">
        <v>50</v>
      </c>
      <c r="X62" s="5">
        <f>1-(X48/X47)</f>
        <v>0.17238620199146515</v>
      </c>
      <c r="Y62" s="5">
        <f>1-(Y48/Y47)</f>
        <v>0.17988966008186513</v>
      </c>
      <c r="Z62" s="5">
        <f>1-(Z48/Z47)</f>
        <v>0.20115658005702586</v>
      </c>
      <c r="AA62" s="5">
        <f>1-(AA48/AA47)</f>
        <v>0.21083664626792331</v>
      </c>
      <c r="AB62" s="5">
        <f>1-(AB48/AB47)</f>
        <v>0.16826037682391271</v>
      </c>
    </row>
    <row r="63" spans="2:28" x14ac:dyDescent="0.2">
      <c r="B63" t="s">
        <v>59</v>
      </c>
      <c r="X63" s="4">
        <f>X54/X47</f>
        <v>4.1029516358463726E-2</v>
      </c>
      <c r="Y63" s="4">
        <f t="shared" ref="Y63:AB63" si="5">Y54/Y47</f>
        <v>5.7803879693895714E-2</v>
      </c>
      <c r="Z63" s="4">
        <f t="shared" si="5"/>
        <v>5.6584072928798038E-2</v>
      </c>
      <c r="AA63" s="4">
        <f t="shared" si="5"/>
        <v>4.2033322910617767E-2</v>
      </c>
      <c r="AB63" s="4">
        <f t="shared" si="5"/>
        <v>1.4095480946309675E-2</v>
      </c>
    </row>
    <row r="68" spans="2:34" x14ac:dyDescent="0.2">
      <c r="B68" t="s">
        <v>73</v>
      </c>
      <c r="X68" s="1">
        <v>36782</v>
      </c>
      <c r="Y68" s="1">
        <v>41647</v>
      </c>
      <c r="Z68" s="1">
        <v>44059</v>
      </c>
      <c r="AA68" s="1">
        <v>44743</v>
      </c>
      <c r="AB68" s="1">
        <f>15219+28305</f>
        <v>43524</v>
      </c>
      <c r="AC68" s="1"/>
      <c r="AD68" s="1"/>
      <c r="AE68" s="1"/>
      <c r="AF68" s="1"/>
      <c r="AG68" s="1"/>
      <c r="AH68" s="1"/>
    </row>
    <row r="69" spans="2:34" x14ac:dyDescent="0.2">
      <c r="B69" t="s">
        <v>74</v>
      </c>
      <c r="X69" s="1">
        <v>3838</v>
      </c>
      <c r="Y69" s="1">
        <v>4703</v>
      </c>
      <c r="Z69" s="1">
        <v>4576</v>
      </c>
      <c r="AA69" s="1">
        <v>3959</v>
      </c>
      <c r="AB69" s="1">
        <v>4087</v>
      </c>
      <c r="AC69" s="1"/>
      <c r="AD69" s="1"/>
      <c r="AE69" s="1"/>
      <c r="AF69" s="1"/>
      <c r="AG69" s="1"/>
      <c r="AH69" s="1"/>
    </row>
    <row r="70" spans="2:34" x14ac:dyDescent="0.2">
      <c r="B70" t="s">
        <v>75</v>
      </c>
      <c r="X70" s="1">
        <v>14570</v>
      </c>
      <c r="Y70" s="1">
        <v>12276</v>
      </c>
      <c r="Z70" s="1">
        <v>12392</v>
      </c>
      <c r="AA70" s="1">
        <v>14434</v>
      </c>
      <c r="AB70" s="1">
        <v>13752</v>
      </c>
      <c r="AC70" s="1"/>
      <c r="AD70" s="1"/>
      <c r="AE70" s="1"/>
      <c r="AF70" s="1"/>
      <c r="AG70" s="1"/>
      <c r="AH70" s="1"/>
    </row>
    <row r="71" spans="2:34" x14ac:dyDescent="0.2">
      <c r="B71" t="s">
        <v>76</v>
      </c>
      <c r="X71" s="1">
        <v>5943</v>
      </c>
      <c r="Y71" s="1">
        <v>6027</v>
      </c>
      <c r="Z71" s="1">
        <v>7615</v>
      </c>
      <c r="AA71" s="1">
        <v>6612</v>
      </c>
      <c r="AB71" s="1">
        <v>7395</v>
      </c>
      <c r="AC71" s="1"/>
      <c r="AD71" s="1"/>
      <c r="AE71" s="1"/>
      <c r="AF71" s="1"/>
      <c r="AG71" s="1"/>
      <c r="AH71" s="1"/>
    </row>
    <row r="72" spans="2:34" x14ac:dyDescent="0.2">
      <c r="B72" t="s">
        <v>77</v>
      </c>
      <c r="X72" s="1">
        <v>5230</v>
      </c>
      <c r="Y72" s="1">
        <v>5019</v>
      </c>
      <c r="Z72" s="1">
        <v>4912</v>
      </c>
      <c r="AA72" s="1"/>
      <c r="AB72" s="1">
        <v>4253</v>
      </c>
      <c r="AC72" s="1"/>
      <c r="AD72" s="1"/>
      <c r="AE72" s="1"/>
      <c r="AF72" s="1"/>
      <c r="AG72" s="1"/>
      <c r="AH72" s="1"/>
    </row>
    <row r="73" spans="2:34" x14ac:dyDescent="0.2">
      <c r="B73" t="s">
        <v>78</v>
      </c>
      <c r="X73" s="1">
        <v>4788</v>
      </c>
      <c r="Y73" s="1">
        <v>4673</v>
      </c>
      <c r="Z73" s="1">
        <v>4604</v>
      </c>
      <c r="AA73" s="1"/>
      <c r="AB73" s="1">
        <v>4510</v>
      </c>
      <c r="AC73" s="1"/>
      <c r="AD73" s="1"/>
      <c r="AE73" s="1"/>
      <c r="AF73" s="1"/>
      <c r="AG73" s="1"/>
      <c r="AH73" s="1"/>
    </row>
    <row r="74" spans="2:34" x14ac:dyDescent="0.2">
      <c r="B74" t="s">
        <v>79</v>
      </c>
      <c r="X74" s="1">
        <v>38574</v>
      </c>
      <c r="Y74" s="1">
        <v>39407</v>
      </c>
      <c r="Z74" s="1">
        <v>40643</v>
      </c>
      <c r="AA74" s="1"/>
      <c r="AB74" s="1">
        <v>47255</v>
      </c>
      <c r="AC74" s="1"/>
      <c r="AD74" s="1"/>
      <c r="AE74" s="1"/>
      <c r="AF74" s="1"/>
      <c r="AG74" s="1"/>
      <c r="AH74" s="1"/>
    </row>
    <row r="75" spans="2:34" x14ac:dyDescent="0.2">
      <c r="B75" t="s">
        <v>80</v>
      </c>
      <c r="X75" s="1">
        <v>5633</v>
      </c>
      <c r="Y75" s="1">
        <v>5783</v>
      </c>
      <c r="Z75" s="1">
        <v>6027</v>
      </c>
      <c r="AA75" s="1"/>
      <c r="AB75" s="1">
        <v>6386</v>
      </c>
      <c r="AC75" s="1"/>
      <c r="AD75" s="1"/>
      <c r="AE75" s="1"/>
      <c r="AF75" s="1"/>
      <c r="AG75" s="1"/>
      <c r="AH75" s="1"/>
    </row>
    <row r="76" spans="2:34" x14ac:dyDescent="0.2">
      <c r="B76" t="s">
        <v>81</v>
      </c>
      <c r="X76" s="1">
        <v>1235</v>
      </c>
      <c r="Y76" s="1">
        <v>1315</v>
      </c>
      <c r="Z76" s="1">
        <v>1008</v>
      </c>
      <c r="AA76" s="1"/>
      <c r="AB76" s="1">
        <v>674</v>
      </c>
      <c r="AC76" s="1"/>
      <c r="AD76" s="1"/>
      <c r="AE76" s="1"/>
      <c r="AF76" s="1"/>
      <c r="AG76" s="1"/>
      <c r="AH76" s="1"/>
    </row>
    <row r="77" spans="2:34" x14ac:dyDescent="0.2">
      <c r="B77" t="s">
        <v>82</v>
      </c>
      <c r="X77" s="1">
        <v>6721</v>
      </c>
      <c r="Y77" s="1">
        <v>6637</v>
      </c>
      <c r="Z77" s="1">
        <v>6925</v>
      </c>
      <c r="AA77" s="1"/>
      <c r="AB77" s="1">
        <v>7235</v>
      </c>
      <c r="AC77" s="1"/>
      <c r="AD77" s="1"/>
      <c r="AE77" s="1"/>
      <c r="AF77" s="1"/>
      <c r="AG77" s="1"/>
      <c r="AH77" s="1"/>
    </row>
    <row r="78" spans="2:34" x14ac:dyDescent="0.2">
      <c r="B78" t="s">
        <v>67</v>
      </c>
      <c r="X78" s="1">
        <v>5253</v>
      </c>
      <c r="Y78" s="1">
        <v>6248</v>
      </c>
      <c r="Z78" s="1">
        <v>5045</v>
      </c>
      <c r="AA78" s="1"/>
      <c r="AB78" s="1">
        <v>9453</v>
      </c>
      <c r="AC78" s="1"/>
      <c r="AD78" s="1"/>
      <c r="AE78" s="1"/>
      <c r="AF78" s="1"/>
      <c r="AG78" s="1"/>
      <c r="AH78" s="1"/>
    </row>
    <row r="79" spans="2:34" x14ac:dyDescent="0.2">
      <c r="B79" t="s">
        <v>83</v>
      </c>
      <c r="X79" s="1">
        <f>SUM(X68:X78)</f>
        <v>128567</v>
      </c>
      <c r="Y79" s="1">
        <f>SUM(Y68:Y78)</f>
        <v>133735</v>
      </c>
      <c r="Z79" s="1">
        <f t="shared" ref="Z79:AB79" si="6">SUM(Z68:Z78)</f>
        <v>137806</v>
      </c>
      <c r="AA79" s="1">
        <f t="shared" si="6"/>
        <v>69748</v>
      </c>
      <c r="AB79" s="1">
        <f t="shared" si="6"/>
        <v>148524</v>
      </c>
      <c r="AC79" s="1"/>
      <c r="AD79" s="1"/>
      <c r="AE79" s="1"/>
      <c r="AF79" s="1"/>
      <c r="AG79" s="1"/>
      <c r="AH79" s="1"/>
    </row>
    <row r="80" spans="2:34" x14ac:dyDescent="0.2"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</row>
    <row r="81" spans="2:34" x14ac:dyDescent="0.2">
      <c r="B81" t="s">
        <v>84</v>
      </c>
      <c r="X81" s="1">
        <v>13212</v>
      </c>
      <c r="Y81" s="1">
        <v>12819</v>
      </c>
      <c r="Z81" s="1">
        <v>13371</v>
      </c>
      <c r="AA81" s="1"/>
      <c r="AB81" s="1">
        <v>15324</v>
      </c>
      <c r="AC81" s="1"/>
      <c r="AD81" s="1"/>
      <c r="AE81" s="1"/>
      <c r="AF81" s="1"/>
      <c r="AG81" s="1"/>
      <c r="AH81" s="1"/>
    </row>
    <row r="82" spans="2:34" x14ac:dyDescent="0.2">
      <c r="B82" t="s">
        <v>85</v>
      </c>
      <c r="X82" s="1">
        <v>11519</v>
      </c>
      <c r="Y82" s="1">
        <v>12791</v>
      </c>
      <c r="Z82" s="1">
        <v>13279</v>
      </c>
      <c r="AA82" s="1"/>
      <c r="AB82" s="1">
        <v>15256</v>
      </c>
      <c r="AC82" s="1"/>
      <c r="AD82" s="1"/>
      <c r="AE82" s="1"/>
      <c r="AF82" s="1"/>
      <c r="AG82" s="1"/>
      <c r="AH82" s="1"/>
    </row>
    <row r="83" spans="2:34" x14ac:dyDescent="0.2">
      <c r="B83" t="s">
        <v>88</v>
      </c>
      <c r="X83" s="1">
        <v>3237</v>
      </c>
      <c r="Y83" s="1">
        <v>3756</v>
      </c>
      <c r="Z83" s="1">
        <v>3424</v>
      </c>
      <c r="AA83" s="1"/>
      <c r="AB83" s="1">
        <v>3427</v>
      </c>
      <c r="AC83" s="1"/>
      <c r="AD83" s="1"/>
      <c r="AE83" s="1"/>
      <c r="AF83" s="1"/>
      <c r="AG83" s="1"/>
      <c r="AH83" s="1"/>
    </row>
    <row r="84" spans="2:34" x14ac:dyDescent="0.2">
      <c r="B84" t="s">
        <v>86</v>
      </c>
      <c r="X84" s="1">
        <v>2040</v>
      </c>
      <c r="Y84" s="1">
        <v>1924</v>
      </c>
      <c r="Z84" s="1">
        <v>1640</v>
      </c>
      <c r="AA84" s="1"/>
      <c r="AB84" s="1">
        <v>1418</v>
      </c>
      <c r="AC84" s="1"/>
      <c r="AD84" s="1"/>
      <c r="AE84" s="1"/>
      <c r="AF84" s="1"/>
      <c r="AG84" s="1"/>
      <c r="AH84" s="1"/>
    </row>
    <row r="85" spans="2:34" x14ac:dyDescent="0.2">
      <c r="B85" t="s">
        <v>87</v>
      </c>
      <c r="X85" s="1">
        <v>5180</v>
      </c>
      <c r="Y85" s="1">
        <v>5778</v>
      </c>
      <c r="Z85" s="1">
        <v>6736</v>
      </c>
      <c r="AA85" s="1"/>
      <c r="AB85" s="1">
        <v>7924</v>
      </c>
      <c r="AC85" s="1"/>
      <c r="AD85" s="1"/>
      <c r="AE85" s="1"/>
      <c r="AF85" s="1"/>
      <c r="AG85" s="1"/>
      <c r="AH85" s="1"/>
    </row>
    <row r="86" spans="2:34" x14ac:dyDescent="0.2">
      <c r="B86" t="s">
        <v>89</v>
      </c>
      <c r="X86" s="1">
        <v>3764</v>
      </c>
      <c r="Y86" s="1">
        <v>3746</v>
      </c>
      <c r="Z86" s="1">
        <v>3631</v>
      </c>
      <c r="AA86" s="1"/>
      <c r="AB86" s="1">
        <v>4073</v>
      </c>
      <c r="AC86" s="1"/>
      <c r="AD86" s="1"/>
      <c r="AE86" s="1"/>
      <c r="AF86" s="1"/>
      <c r="AG86" s="1"/>
      <c r="AH86" s="1"/>
    </row>
    <row r="87" spans="2:34" x14ac:dyDescent="0.2">
      <c r="B87" t="s">
        <v>90</v>
      </c>
      <c r="X87" s="1">
        <v>11543</v>
      </c>
      <c r="Y87" s="1">
        <v>12205</v>
      </c>
      <c r="Z87" s="1">
        <v>12860</v>
      </c>
      <c r="AA87" s="1"/>
      <c r="AB87" s="1">
        <v>13583</v>
      </c>
      <c r="AC87" s="1"/>
      <c r="AD87" s="1"/>
      <c r="AE87" s="1"/>
      <c r="AF87" s="1"/>
      <c r="AG87" s="1"/>
      <c r="AH87" s="1"/>
    </row>
    <row r="88" spans="2:34" x14ac:dyDescent="0.2">
      <c r="B88" t="s">
        <v>91</v>
      </c>
      <c r="X88" s="1">
        <f>SUM(X81:X87)</f>
        <v>50495</v>
      </c>
      <c r="Y88" s="1">
        <f t="shared" ref="Y88:AB88" si="7">SUM(Y81:Y87)</f>
        <v>53019</v>
      </c>
      <c r="Z88" s="1">
        <f t="shared" si="7"/>
        <v>54941</v>
      </c>
      <c r="AA88" s="1">
        <f t="shared" si="7"/>
        <v>0</v>
      </c>
      <c r="AB88" s="1">
        <f t="shared" si="7"/>
        <v>61005</v>
      </c>
      <c r="AC88" s="1"/>
      <c r="AD88" s="1"/>
      <c r="AE88" s="1"/>
      <c r="AF88" s="1"/>
      <c r="AG88" s="1"/>
      <c r="AH88" s="1"/>
    </row>
    <row r="89" spans="2:34" x14ac:dyDescent="0.2"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</row>
    <row r="90" spans="2:34" x14ac:dyDescent="0.2">
      <c r="B90" t="s">
        <v>126</v>
      </c>
      <c r="X90" s="1"/>
      <c r="Y90" s="1"/>
      <c r="Z90" s="1">
        <v>58</v>
      </c>
      <c r="AA90" s="1"/>
      <c r="AB90" s="1">
        <v>54</v>
      </c>
      <c r="AC90" s="1"/>
      <c r="AD90" s="1"/>
      <c r="AE90" s="1"/>
      <c r="AF90" s="1"/>
      <c r="AG90" s="1"/>
      <c r="AH90" s="1"/>
    </row>
    <row r="91" spans="2:34" s="1" customFormat="1" x14ac:dyDescent="0.2"/>
    <row r="92" spans="2:34" x14ac:dyDescent="0.2">
      <c r="B92" t="s">
        <v>92</v>
      </c>
      <c r="X92" s="1">
        <f>X79-X88-X90-X94</f>
        <v>78072</v>
      </c>
      <c r="Y92" s="1">
        <f>Y79-Y88-Y90-Y94</f>
        <v>80716</v>
      </c>
      <c r="Z92" s="1">
        <f>Z79-Z88-Z90-Z94</f>
        <v>82137</v>
      </c>
      <c r="AA92" s="1">
        <f>AA79-AA88-AA90-AA94</f>
        <v>69748</v>
      </c>
      <c r="AB92" s="1">
        <f>AB79-AB88-AB90-AB94</f>
        <v>86858</v>
      </c>
      <c r="AC92" s="1"/>
      <c r="AD92" s="1"/>
      <c r="AE92" s="1"/>
      <c r="AF92" s="1"/>
      <c r="AG92" s="1"/>
      <c r="AH92" s="1"/>
    </row>
    <row r="93" spans="2:34" x14ac:dyDescent="0.2">
      <c r="B93" t="s">
        <v>124</v>
      </c>
      <c r="Z93">
        <v>3751</v>
      </c>
      <c r="AA93">
        <v>3755</v>
      </c>
      <c r="AB93">
        <v>3949</v>
      </c>
    </row>
    <row r="94" spans="2:34" x14ac:dyDescent="0.2">
      <c r="B94" t="s">
        <v>125</v>
      </c>
      <c r="Z94">
        <v>670</v>
      </c>
      <c r="AB94">
        <v>607</v>
      </c>
    </row>
    <row r="96" spans="2:34" x14ac:dyDescent="0.2">
      <c r="Z96" s="1"/>
    </row>
    <row r="97" customFormat="1" x14ac:dyDescent="0.2"/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Questions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Dillon Walton</dc:creator>
  <cp:lastModifiedBy>Dillon Walton</cp:lastModifiedBy>
  <dcterms:created xsi:type="dcterms:W3CDTF">2026-08-29T01:21:44Z</dcterms:created>
  <dcterms:modified xsi:type="dcterms:W3CDTF">2026-09-01T22:53:56Z</dcterms:modified>
</cp:coreProperties>
</file>