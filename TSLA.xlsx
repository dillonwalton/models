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odels\"/>
    </mc:Choice>
  </mc:AlternateContent>
  <xr:revisionPtr revIDLastSave="0" documentId="13_ncr:1_{5C5933EB-5B7F-46C5-AD58-977DDA7B96F1}" xr6:coauthVersionLast="47" xr6:coauthVersionMax="47" xr10:uidLastSave="{00000000-0000-0000-0000-000000000000}"/>
  <bookViews>
    <workbookView xWindow="38280" yWindow="-120" windowWidth="38640" windowHeight="21120" xr2:uid="{969D4ED5-6A32-DE48-841A-E0A03F4B02B5}"/>
  </bookViews>
  <sheets>
    <sheet name="Main" sheetId="1" r:id="rId1"/>
    <sheet name="Questions" sheetId="4" r:id="rId2"/>
    <sheet name="Mod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O68" i="2" l="1"/>
  <c r="BK12" i="2"/>
  <c r="BM79" i="2"/>
  <c r="BN79" i="2"/>
  <c r="BO79" i="2"/>
  <c r="BL88" i="2"/>
  <c r="BM88" i="2"/>
  <c r="BN88" i="2"/>
  <c r="BO88" i="2"/>
  <c r="BL79" i="2"/>
  <c r="BL92" i="2" s="1"/>
  <c r="BK88" i="2"/>
  <c r="BK79" i="2"/>
  <c r="BK92" i="2" s="1"/>
  <c r="BK56" i="2"/>
  <c r="BO55" i="2"/>
  <c r="BN55" i="2"/>
  <c r="BM55" i="2"/>
  <c r="BL55" i="2"/>
  <c r="BK55" i="2"/>
  <c r="BL53" i="2"/>
  <c r="BM53" i="2"/>
  <c r="BN53" i="2"/>
  <c r="BO53" i="2"/>
  <c r="BK53" i="2"/>
  <c r="BL48" i="2"/>
  <c r="BM48" i="2"/>
  <c r="BN48" i="2"/>
  <c r="BO48" i="2"/>
  <c r="BK48" i="2"/>
  <c r="BO45" i="2"/>
  <c r="BN45" i="2"/>
  <c r="BM45" i="2"/>
  <c r="BL45" i="2"/>
  <c r="BK45" i="2"/>
  <c r="BO44" i="2"/>
  <c r="BN44" i="2"/>
  <c r="BM44" i="2"/>
  <c r="BL44" i="2"/>
  <c r="BK44" i="2"/>
  <c r="BL32" i="2"/>
  <c r="BL43" i="2" s="1"/>
  <c r="BM32" i="2"/>
  <c r="BM43" i="2" s="1"/>
  <c r="BN32" i="2"/>
  <c r="BN43" i="2" s="1"/>
  <c r="BO32" i="2"/>
  <c r="BO43" i="2" s="1"/>
  <c r="BK32" i="2"/>
  <c r="BK43" i="2" s="1"/>
  <c r="BO30" i="2"/>
  <c r="BN30" i="2"/>
  <c r="BM30" i="2"/>
  <c r="BL30" i="2"/>
  <c r="BK30" i="2"/>
  <c r="BL29" i="2"/>
  <c r="BM29" i="2"/>
  <c r="BN29" i="2"/>
  <c r="BO29" i="2"/>
  <c r="BK29" i="2"/>
  <c r="L8" i="1"/>
  <c r="L7" i="1"/>
  <c r="L6" i="1"/>
  <c r="BN92" i="2" l="1"/>
  <c r="BM92" i="2"/>
  <c r="L9" i="1"/>
  <c r="BO92" i="2"/>
  <c r="BK47" i="2"/>
  <c r="BN47" i="2"/>
  <c r="BL47" i="2"/>
  <c r="BM47" i="2"/>
  <c r="BO47" i="2"/>
  <c r="BL62" i="2" l="1"/>
  <c r="BL49" i="2"/>
  <c r="BL54" i="2" s="1"/>
  <c r="BO62" i="2"/>
  <c r="BO49" i="2"/>
  <c r="BO54" i="2" s="1"/>
  <c r="BM62" i="2"/>
  <c r="BM49" i="2"/>
  <c r="BM54" i="2" s="1"/>
  <c r="BN62" i="2"/>
  <c r="BN49" i="2"/>
  <c r="BN54" i="2" s="1"/>
  <c r="BK62" i="2"/>
  <c r="BK49" i="2"/>
  <c r="BK54" i="2" s="1"/>
  <c r="BN63" i="2" l="1"/>
  <c r="BN60" i="2"/>
  <c r="BN58" i="2"/>
  <c r="BK63" i="2"/>
  <c r="BK58" i="2"/>
  <c r="BK60" i="2"/>
  <c r="BM63" i="2"/>
  <c r="BM60" i="2"/>
  <c r="BM58" i="2"/>
  <c r="BO63" i="2"/>
  <c r="BO60" i="2"/>
  <c r="BO58" i="2"/>
  <c r="BL63" i="2"/>
  <c r="BL60" i="2"/>
  <c r="BL5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Dillon Walton</author>
  </authors>
  <commentList>
    <comment ref="C26" authorId="0" shapeId="0" xr:uid="{C5AC19FE-CD97-4247-B105-54CE2CCB2A22}">
      <text>
        <r>
          <rPr>
            <b/>
            <sz val="10"/>
            <color rgb="FF000000"/>
            <rFont val="Tahoma"/>
            <family val="2"/>
          </rPr>
          <t>Dillon Walton: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q226 v3</t>
        </r>
      </text>
    </comment>
    <comment ref="C27" authorId="0" shapeId="0" xr:uid="{62359BE1-BB6F-BA4C-94EF-44C9612A9B81}">
      <text>
        <r>
          <rPr>
            <b/>
            <sz val="10"/>
            <color rgb="FF000000"/>
            <rFont val="Tahoma"/>
            <family val="2"/>
          </rPr>
          <t>Dillon Walton: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q226 v3</t>
        </r>
      </text>
    </comment>
    <comment ref="C28" authorId="0" shapeId="0" xr:uid="{09414612-5B8E-F54E-B869-B183750B0F35}">
      <text>
        <r>
          <rPr>
            <b/>
            <sz val="10"/>
            <color rgb="FF000000"/>
            <rFont val="Tahoma"/>
            <family val="2"/>
          </rPr>
          <t>Dillon Walton: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q226 v3</t>
        </r>
      </text>
    </comment>
    <comment ref="C29" authorId="0" shapeId="0" xr:uid="{63810956-4E6C-5744-A6FF-680D417501F9}">
      <text>
        <r>
          <rPr>
            <b/>
            <sz val="10"/>
            <color rgb="FF000000"/>
            <rFont val="Tahoma"/>
            <family val="2"/>
          </rPr>
          <t>Dillon Walton: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powerwall 3p = three phase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tc={38726785-892C-804C-8FF8-DADB51549DC9}</author>
    <author>tc={925AD150-B139-6741-9EC2-6FE911D37EFF}</author>
    <author>tc={00827756-8C87-FC4E-BC39-F490C56C50B7}</author>
    <author>tc={6BB9B9F4-FBF5-9B49-8159-98C3A5C6D3BD}</author>
    <author>tc={978DD6E5-58E1-9F42-A7E1-A314658D4B6C}</author>
    <author>tc={9F91B916-055A-A946-9CCD-A1E2DB92D76A}</author>
    <author>tc={A822EA57-979C-C248-99FD-6E63FC7EFEDC}</author>
    <author>tc={DA7FB16A-BE59-1C4E-AEE1-B3F29AEC4585}</author>
    <author>tc={28B12050-6E57-1549-88E4-6182ECE76F21}</author>
    <author>tc={E50E5CDA-5BF9-BA4A-B00E-EE3CD7609C8F}</author>
    <author>tc={4ACDDBCB-916E-7242-9A04-C86391B224F5}</author>
    <author>tc={82B56D2A-B009-2049-A96C-28DAEAF35590}</author>
    <author>tc={1D287C6F-E2D2-E345-BE86-5BE0D8B9902E}</author>
    <author>tc={35C48961-CBB3-054F-AB67-BC31DA5D496E}</author>
    <author>tc={2B43781E-258D-B846-ADF9-31DF09F42242}</author>
    <author>tc={D67A7C5D-6506-2244-878D-DB7D6AF3E3A5}</author>
    <author>tc={762FEB78-F3D7-6C42-9A3A-8D6E51523308}</author>
    <author>tc={F1607007-8EEC-9642-B09C-96725A8DDB3D}</author>
    <author>tc={68BF9E4D-74F3-1E45-AB40-9313600989E6}</author>
    <author>tc={AB337D9C-E292-2143-B82D-380CAA0E7A81}</author>
    <author>tc={77FB4DF4-DAF2-6E44-9ADD-0BFD928990F8}</author>
    <author>tc={FC305755-3C2E-6748-88FA-76EFEFFEC1DA}</author>
    <author>tc={58D8461D-D8C7-F644-A557-CB2165FF1C7B}</author>
    <author>tc={F9526E8C-ABD1-B444-95D9-E6D2FD4DA32E}</author>
    <author>tc={B4213311-BB2C-BC4D-A1BC-81FAD250A680}</author>
    <author>tc={C4663125-B0BD-7E48-8EE8-B212C568F57F}</author>
    <author>Dillon Walton</author>
  </authors>
  <commentList>
    <comment ref="AP2" authorId="0" shapeId="0" xr:uid="{38726785-892C-804C-8FF8-DADB51549DC9}">
      <text>
        <t>[Threaded comment]
Your version of Excel allows you to read this threaded comment; however, any edits to it will get removed if the file is opened in a newer version of Excel. Learn more: https://go.microsoft.com/fwlink/?linkid=870924
Comment:
    Q120 Tesla shareholder letter
https://digitalassets.tesla.com/tesla-contents/image/upload/IR/TSLA_Update_Letter_2020-1Q</t>
      </text>
    </comment>
    <comment ref="AQ2" authorId="1" shapeId="0" xr:uid="{925AD150-B139-6741-9EC2-6FE911D37EFF}">
      <text>
        <t>[Threaded comment]
Your version of Excel allows you to read this threaded comment; however, any edits to it will get removed if the file is opened in a newer version of Excel. Learn more: https://go.microsoft.com/fwlink/?linkid=870924
Comment:
    Q220 Tesla shareholder letter
https://digitalassets.tesla.com/tesla-contents/image/upload/IR/TSLA_Update_Letter_2020-2Q</t>
      </text>
    </comment>
    <comment ref="AR2" authorId="2" shapeId="0" xr:uid="{00827756-8C87-FC4E-BC39-F490C56C50B7}">
      <text>
        <t>[Threaded comment]
Your version of Excel allows you to read this threaded comment; however, any edits to it will get removed if the file is opened in a newer version of Excel. Learn more: https://go.microsoft.com/fwlink/?linkid=870924
Comment:
    Q320 Tesla shareholder letter
https://digitalassets.tesla.com/tesla-contents/image/upload/IR/TSLA-Q3-2020-Update</t>
      </text>
    </comment>
    <comment ref="AS2" authorId="3" shapeId="0" xr:uid="{6BB9B9F4-FBF5-9B49-8159-98C3A5C6D3BD}">
      <text>
        <t>[Threaded comment]
Your version of Excel allows you to read this threaded comment; however, any edits to it will get removed if the file is opened in a newer version of Excel. Learn more: https://go.microsoft.com/fwlink/?linkid=870924
Comment:
    Q420 Tesla shareholder letter
https://digitalassets.tesla.com/tesla-contents/image/upload/IR/TSLA-Q4-2020-Update</t>
      </text>
    </comment>
    <comment ref="AT2" authorId="4" shapeId="0" xr:uid="{978DD6E5-58E1-9F42-A7E1-A314658D4B6C}">
      <text>
        <t>[Threaded comment]
Your version of Excel allows you to read this threaded comment; however, any edits to it will get removed if the file is opened in a newer version of Excel. Learn more: https://go.microsoft.com/fwlink/?linkid=870924
Comment:
    Q121 Tesla shareholder letter
https://digitalassets.tesla.com/tesla-contents/image/upload/IR/TSLA-Q1-2021-Update</t>
      </text>
    </comment>
    <comment ref="AU2" authorId="5" shapeId="0" xr:uid="{9F91B916-055A-A946-9CCD-A1E2DB92D76A}">
      <text>
        <t>[Threaded comment]
Your version of Excel allows you to read this threaded comment; however, any edits to it will get removed if the file is opened in a newer version of Excel. Learn more: https://go.microsoft.com/fwlink/?linkid=870924
Comment:
    Q221 Tesla shareholder letter
https://digitalassets.tesla.com/tesla-contents/image/upload/IR/TSLA-Q2-2021-Update</t>
      </text>
    </comment>
    <comment ref="AV2" authorId="6" shapeId="0" xr:uid="{A822EA57-979C-C248-99FD-6E63FC7EFEDC}">
      <text>
        <t>[Threaded comment]
Your version of Excel allows you to read this threaded comment; however, any edits to it will get removed if the file is opened in a newer version of Excel. Learn more: https://go.microsoft.com/fwlink/?linkid=870924
Comment:
    Q321 Tesla shareholder letter
https://digitalassets.tesla.com/tesla-contents/image/upload/IR/TSLA-Q3-2021-Quarterly-Update</t>
      </text>
    </comment>
    <comment ref="AW2" authorId="7" shapeId="0" xr:uid="{DA7FB16A-BE59-1C4E-AEE1-B3F29AEC4585}">
      <text>
        <t>[Threaded comment]
Your version of Excel allows you to read this threaded comment; however, any edits to it will get removed if the file is opened in a newer version of Excel. Learn more: https://go.microsoft.com/fwlink/?linkid=870924
Comment:
    Q421 Tesla shareholder letter
https://digitalassets.tesla.com/tesla-contents/image/upload/IR/TSLA-Q4-2021-Update</t>
      </text>
    </comment>
    <comment ref="AX2" authorId="8" shapeId="0" xr:uid="{28B12050-6E57-1549-88E4-6182ECE76F21}">
      <text>
        <t>[Threaded comment]
Your version of Excel allows you to read this threaded comment; however, any edits to it will get removed if the file is opened in a newer version of Excel. Learn more: https://go.microsoft.com/fwlink/?linkid=870924
Comment:
    Q122 Tesla shareholder letter
https://digitalassets.tesla.com/tesla-contents/image/upload/IR/TSLA-Q1-2022-Update</t>
      </text>
    </comment>
    <comment ref="AY2" authorId="9" shapeId="0" xr:uid="{E50E5CDA-5BF9-BA4A-B00E-EE3CD7609C8F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Tesla shareholder letter
https://digitalassets.tesla.com/tesla-contents/image/upload/IR/TSLA-Q2-2022-Update</t>
      </text>
    </comment>
    <comment ref="AZ2" authorId="10" shapeId="0" xr:uid="{4ACDDBCB-916E-7242-9A04-C86391B224F5}">
      <text>
        <t>[Threaded comment]
Your version of Excel allows you to read this threaded comment; however, any edits to it will get removed if the file is opened in a newer version of Excel. Learn more: https://go.microsoft.com/fwlink/?linkid=870924
Comment:
    Q322 Tesla shareholder letter
https://digitalassets.tesla.com/tesla-contents/image/upload/IR/TSLA-Q3-2022-Update</t>
      </text>
    </comment>
    <comment ref="BA2" authorId="11" shapeId="0" xr:uid="{82B56D2A-B009-2049-A96C-28DAEAF3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Q422 Tesla shareholder letter
https://digitalassets.tesla.com/tesla-contents/image/upload/IR/TSLA-Q4-2022-Update</t>
      </text>
    </comment>
    <comment ref="BB2" authorId="12" shapeId="0" xr:uid="{1D287C6F-E2D2-E345-BE86-5BE0D8B9902E}">
      <text>
        <t>[Threaded comment]
Your version of Excel allows you to read this threaded comment; however, any edits to it will get removed if the file is opened in a newer version of Excel. Learn more: https://go.microsoft.com/fwlink/?linkid=870924
Comment:
    Q123 Tesla shareholder letter
https://digitalassets.tesla.com/tesla-contents/image/upload/IR/TSLA-Q1-2023-Update</t>
      </text>
    </comment>
    <comment ref="BC2" authorId="13" shapeId="0" xr:uid="{35C48961-CBB3-054F-AB67-BC31DA5D496E}">
      <text>
        <t>[Threaded comment]
Your version of Excel allows you to read this threaded comment; however, any edits to it will get removed if the file is opened in a newer version of Excel. Learn more: https://go.microsoft.com/fwlink/?linkid=870924
Comment:
    Q223 Tesla shareholder letter
https://digitalassets.tesla.com/tesla-contents/image/upload/IR/TSLA-Q2-2023-Update.pdf</t>
      </text>
    </comment>
    <comment ref="BD2" authorId="14" shapeId="0" xr:uid="{2B43781E-258D-B846-ADF9-31DF09F42242}">
      <text>
        <t>[Threaded comment]
Your version of Excel allows you to read this threaded comment; however, any edits to it will get removed if the file is opened in a newer version of Excel. Learn more: https://go.microsoft.com/fwlink/?linkid=870924
Comment:
    Q323 Tesla shareholder letter
https://digitalassets.tesla.com/tesla-contents/image/upload/IR/TSLA-Q3-2023-Update-3.pdf</t>
      </text>
    </comment>
    <comment ref="BE2" authorId="15" shapeId="0" xr:uid="{D67A7C5D-6506-2244-878D-DB7D6AF3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Q423 Tesla shareholder letter
https://digitalassets.tesla.com/tesla-contents/image/upload/IR/TSLA-Q4-2023-Update.pdf</t>
      </text>
    </comment>
    <comment ref="BF2" authorId="16" shapeId="0" xr:uid="{762FEB78-F3D7-6C42-9A3A-8D6E51523308}">
      <text>
        <t>[Threaded comment]
Your version of Excel allows you to read this threaded comment; however, any edits to it will get removed if the file is opened in a newer version of Excel. Learn more: https://go.microsoft.com/fwlink/?linkid=870924
Comment:
    Q124 Tesla shareholder letter
https://digitalassets.tesla.com/tesla-contents/image/upload/IR/TSLA-Q1-2024-Update.pdf</t>
      </text>
    </comment>
    <comment ref="BG2" authorId="17" shapeId="0" xr:uid="{F1607007-8EEC-9642-B09C-96725A8DDB3D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 Tesla shareholder letter
https://digitalassets.tesla.com/tesla-contents/image/upload/IR/TSLA-Q2-2024-Update.pdf</t>
      </text>
    </comment>
    <comment ref="BH2" authorId="18" shapeId="0" xr:uid="{68BF9E4D-74F3-1E45-AB40-93136009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 Tesla shareholder letter
https://digitalassets.tesla.com/tesla-contents/image/upload/IR/TSLA-Q3-2024-Update.pdf</t>
      </text>
    </comment>
    <comment ref="BI2" authorId="19" shapeId="0" xr:uid="{AB337D9C-E292-2143-B82D-380CAA0E7A81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Tesla shareholder letter
https://digitalassets.tesla.com/tesla-contents/image/upload/IR/TSLA-Q4-2024-Update.pdf</t>
      </text>
    </comment>
    <comment ref="BJ2" authorId="20" shapeId="0" xr:uid="{77FB4DF4-DAF2-6E44-9ADD-0BFD928990F8}">
      <text>
        <t>[Threaded comment]
Your version of Excel allows you to read this threaded comment; however, any edits to it will get removed if the file is opened in a newer version of Excel. Learn more: https://go.microsoft.com/fwlink/?linkid=870924
Comment:
    Q125 Tesla shareholder letter
https://digitalassets.tesla.com/tesla-contents/image/upload/IR/IR/TSLA-Q1-2025-Update.pdf</t>
      </text>
    </comment>
    <comment ref="BK2" authorId="21" shapeId="0" xr:uid="{FC305755-3C2E-6748-88FA-76EFEFFEC1DA}">
      <text>
        <t>[Threaded comment]
Your version of Excel allows you to read this threaded comment; however, any edits to it will get removed if the file is opened in a newer version of Excel. Learn more: https://go.microsoft.com/fwlink/?linkid=870924
Comment:
    Q225 Tesla shareholder letter
https://www.tesla.com/sites/default/files/downloads/TSLA-Q2-2025-Update.pdf</t>
      </text>
    </comment>
    <comment ref="BL2" authorId="22" shapeId="0" xr:uid="{58D8461D-D8C7-F644-A557-CB2165FF1C7B}">
      <text>
        <t>[Threaded comment]
Your version of Excel allows you to read this threaded comment; however, any edits to it will get removed if the file is opened in a newer version of Excel. Learn more: https://go.microsoft.com/fwlink/?linkid=870924
Comment:
    Q325 Tesla shareholder letter
https://assets-ir.tesla.com/tesla-contents/IR/TSLA-Q3-2025-Update.pdf</t>
      </text>
    </comment>
    <comment ref="BM2" authorId="23" shapeId="0" xr:uid="{F9526E8C-ABD1-B444-95D9-E6D2FD4DA32E}">
      <text>
        <t>[Threaded comment]
Your version of Excel allows you to read this threaded comment; however, any edits to it will get removed if the file is opened in a newer version of Excel. Learn more: https://go.microsoft.com/fwlink/?linkid=870924
Comment:
    Q425 Tesla shareholder letter
https://assets-ir.tesla.com/tesla-contents/IR/TSLA-Q4-2025-Update.pdf</t>
      </text>
    </comment>
    <comment ref="BN2" authorId="24" shapeId="0" xr:uid="{B4213311-BB2C-BC4D-A1BC-81FAD250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Q126 Tesla shareholder letter
https://assets-ir.tesla.com/tesla-contents/IR/TSLA-Q1-2026-Update.pdf</t>
      </text>
    </comment>
    <comment ref="BO2" authorId="25" shapeId="0" xr:uid="{C4663125-B0BD-7E48-8EE8-B212C568F57F}">
      <text>
        <t>[Threaded comment]
Your version of Excel allows you to read this threaded comment; however, any edits to it will get removed if the file is opened in a newer version of Excel. Learn more: https://go.microsoft.com/fwlink/?linkid=870924
Comment:
    Q226 Tesla shareholder letter
https://assets-ir.tesla.com/tesla-contents/IR/TSLA-Q2-2026-Update.pdf</t>
      </text>
    </comment>
    <comment ref="B72" authorId="26" shapeId="0" xr:uid="{AC8DE0E4-639A-984D-AC99-F9922FE5CB6D}">
      <text>
        <r>
          <rPr>
            <b/>
            <sz val="10"/>
            <color rgb="FF000000"/>
            <rFont val="Tahoma"/>
            <family val="2"/>
          </rPr>
          <t>Dillon Walton: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Book value lease assets</t>
        </r>
      </text>
    </comment>
    <comment ref="B73" authorId="26" shapeId="0" xr:uid="{D6126DBB-7434-9D4F-B554-4C63A31DF33F}">
      <text>
        <r>
          <rPr>
            <b/>
            <sz val="10"/>
            <color rgb="FF000000"/>
            <rFont val="Tahoma"/>
            <family val="2"/>
          </rPr>
          <t>Dillon Walton: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Book value of leased assets</t>
        </r>
      </text>
    </comment>
  </commentList>
</comments>
</file>

<file path=xl/sharedStrings.xml><?xml version="1.0" encoding="utf-8"?>
<sst xmlns="http://schemas.openxmlformats.org/spreadsheetml/2006/main" count="185" uniqueCount="177">
  <si>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</si>
  <si>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</si>
  <si>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</si>
  <si>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</si>
  <si>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</si>
  <si>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</si>
  <si>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</si>
  <si>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</si>
  <si>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</si>
  <si>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</si>
  <si>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</si>
  <si>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</si>
  <si>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</si>
  <si>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</si>
  <si>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</si>
  <si>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</si>
  <si>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</si>
  <si>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</si>
  <si>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</si>
  <si>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</si>
  <si>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</si>
  <si>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</si>
  <si>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</si>
  <si>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</si>
  <si>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</si>
  <si>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</si>
  <si>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</si>
  <si>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</si>
  <si>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</si>
  <si>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Q127</t>
  </si>
  <si>
    <t>Q227</t>
  </si>
  <si>
    <t>Q327</t>
  </si>
  <si>
    <t>Q427</t>
  </si>
  <si>
    <t>Q128</t>
  </si>
  <si>
    <t>Q228</t>
  </si>
  <si>
    <t>Q328</t>
  </si>
  <si>
    <t>Q428</t>
  </si>
  <si>
    <t>Price</t>
  </si>
  <si>
    <t>s/o</t>
  </si>
  <si>
    <t>mkt cap</t>
  </si>
  <si>
    <t>cash</t>
  </si>
  <si>
    <t>debt</t>
  </si>
  <si>
    <t>ev</t>
  </si>
  <si>
    <t>Automotive</t>
  </si>
  <si>
    <t>Energy Generation + Sorage</t>
  </si>
  <si>
    <t>Auto Sales</t>
  </si>
  <si>
    <t>Auto Reg Credits</t>
  </si>
  <si>
    <t>Auto Leasing</t>
  </si>
  <si>
    <t>Services + other</t>
  </si>
  <si>
    <t>Auto Sales COGs</t>
  </si>
  <si>
    <t>Gross Margin</t>
  </si>
  <si>
    <t>Auto Leasing COGs</t>
  </si>
  <si>
    <t>Energy Generation + Sorage COGS</t>
  </si>
  <si>
    <t>Services + other COGs</t>
  </si>
  <si>
    <t>COGs</t>
  </si>
  <si>
    <t>R&amp;D</t>
  </si>
  <si>
    <t>SG&amp;A</t>
  </si>
  <si>
    <t>Restructuring</t>
  </si>
  <si>
    <t>Opex</t>
  </si>
  <si>
    <t>Operating Margin</t>
  </si>
  <si>
    <t>Operating profits</t>
  </si>
  <si>
    <t>Gross Profit</t>
  </si>
  <si>
    <t>Energy + Storage Margin</t>
  </si>
  <si>
    <t>Services Margin</t>
  </si>
  <si>
    <t>Auto Margin</t>
  </si>
  <si>
    <t>Auto Sales Margin</t>
  </si>
  <si>
    <t>Auto Leasing Margin</t>
  </si>
  <si>
    <t>Other</t>
  </si>
  <si>
    <t>Taxes</t>
  </si>
  <si>
    <t>Tax rate</t>
  </si>
  <si>
    <t>Net income</t>
  </si>
  <si>
    <t>Interest Income (loss)</t>
  </si>
  <si>
    <t>Other Income (loss)</t>
  </si>
  <si>
    <t>Cash</t>
  </si>
  <si>
    <t>AR</t>
  </si>
  <si>
    <t>Inventory</t>
  </si>
  <si>
    <t>Prepaid Expenses</t>
  </si>
  <si>
    <t>Operating lease vehicles</t>
  </si>
  <si>
    <t>Energy Gen + Storage Syst</t>
  </si>
  <si>
    <t>PP&amp;E</t>
  </si>
  <si>
    <t>Operating lease right-of-use</t>
  </si>
  <si>
    <t>Digital assets</t>
  </si>
  <si>
    <t>Defered tax</t>
  </si>
  <si>
    <t>Assets</t>
  </si>
  <si>
    <t>AP</t>
  </si>
  <si>
    <t>Accrued Liabilities</t>
  </si>
  <si>
    <t>Debt + finance lease (current)</t>
  </si>
  <si>
    <t>Debt + finance lease (net of current)</t>
  </si>
  <si>
    <t>Deferred Rev (current)</t>
  </si>
  <si>
    <t>Deferred Rev (net of current)</t>
  </si>
  <si>
    <t>Other LT liabilities</t>
  </si>
  <si>
    <t>Liabilities</t>
  </si>
  <si>
    <t>SE</t>
  </si>
  <si>
    <t>Model 3/Y production</t>
  </si>
  <si>
    <t>Other models production</t>
  </si>
  <si>
    <t>Total</t>
  </si>
  <si>
    <t>Model 3/Y deliveries</t>
  </si>
  <si>
    <t xml:space="preserve">Other model </t>
  </si>
  <si>
    <t>Storage Deployed (GWh)</t>
  </si>
  <si>
    <t>Manufacturing</t>
  </si>
  <si>
    <t>California</t>
  </si>
  <si>
    <t>Shanghai</t>
  </si>
  <si>
    <t>Berlin</t>
  </si>
  <si>
    <t>Texas</t>
  </si>
  <si>
    <t>CA</t>
  </si>
  <si>
    <t>Model 3 / Model Y</t>
  </si>
  <si>
    <t>Model 3</t>
  </si>
  <si>
    <t>Model Y</t>
  </si>
  <si>
    <t>Cybertruck</t>
  </si>
  <si>
    <t>Cybercab</t>
  </si>
  <si>
    <t>Tesla Semi</t>
  </si>
  <si>
    <t>Roadster</t>
  </si>
  <si>
    <t>Optimus</t>
  </si>
  <si>
    <t>Megablock</t>
  </si>
  <si>
    <t>Model S</t>
  </si>
  <si>
    <t>Model X</t>
  </si>
  <si>
    <t>Giga Factory</t>
  </si>
  <si>
    <t>Megafactory</t>
  </si>
  <si>
    <t>Random things</t>
  </si>
  <si>
    <t>Cathode material production</t>
  </si>
  <si>
    <t>Lithium refining</t>
  </si>
  <si>
    <t>LFP cells</t>
  </si>
  <si>
    <t>4680 cells</t>
  </si>
  <si>
    <t>Lithium Ion battery storage</t>
  </si>
  <si>
    <t>S/O</t>
  </si>
  <si>
    <t>NCI</t>
  </si>
  <si>
    <t>Redeemable NCI in subsidaries</t>
  </si>
  <si>
    <t>Brookshire, Texas</t>
  </si>
  <si>
    <t>Autobidder</t>
  </si>
  <si>
    <t>Global Markets</t>
  </si>
  <si>
    <t>Overlap between cars, batteries and charging</t>
  </si>
  <si>
    <t>Megapack 1</t>
  </si>
  <si>
    <t>Megapack 2</t>
  </si>
  <si>
    <t>Megapack 3</t>
  </si>
  <si>
    <t>Lathrop, California</t>
  </si>
  <si>
    <t>Powerwall 1</t>
  </si>
  <si>
    <t>Powerwall 2</t>
  </si>
  <si>
    <t>Powerwall 3</t>
  </si>
  <si>
    <t>Q210</t>
  </si>
  <si>
    <t>Q310</t>
  </si>
  <si>
    <t>Q410</t>
  </si>
  <si>
    <t>Q111</t>
  </si>
  <si>
    <t>Q211</t>
  </si>
  <si>
    <t>Q311</t>
  </si>
  <si>
    <t>Q411</t>
  </si>
  <si>
    <t>Q112</t>
  </si>
  <si>
    <t>Q212</t>
  </si>
  <si>
    <t>Q312</t>
  </si>
  <si>
    <t>Q412</t>
  </si>
  <si>
    <t>Q113</t>
  </si>
  <si>
    <t>Q213</t>
  </si>
  <si>
    <t>Q313</t>
  </si>
  <si>
    <t>Q413</t>
  </si>
  <si>
    <t>Q114</t>
  </si>
  <si>
    <t>Q214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</si>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</sst>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u/>
      <sz val="12"/>
      <color rgb="FF0563C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0"/>
      <color rgb="FF000000"/>
      <name val="Tahoma"/>
      <family val="2"/>
    </font>
    <font>
      <u/>
      <sz val="12"/>
      <color rgb="FF0563C1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12"/>
      <color rgb="FF4F81BD"/>
      <name val="Aptos Narrow"/>
      <family val="2"/>
      <scheme val="minor"/>
    </font>
    <font>
      <i/>
      <u/>
      <sz val="12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0" fontId="3" fillId="0" borderId="0" xfId="0" applyFont="1"/>
    <xf numFmtId="0" fontId="4" fillId="0" borderId="0" xfId="0" applyFont="1"/>
    <xf numFmtId="9" fontId="0" fillId="0" borderId="0" xfId="0" applyNumberFormat="1"/>
    <xf numFmtId="9" fontId="0" fillId="0" borderId="0" xfId="1" applyFont="1"/>
    <xf numFmtId="3" fontId="4" fillId="0" borderId="0" xfId="0" applyNumberFormat="1" applyFont="1"/>
    <xf numFmtId="0" fontId="5" fillId="0" borderId="0" xfId="0" applyFont="1"/>
    <xf numFmtId="9" fontId="5" fillId="0" borderId="0" xfId="0" applyNumberFormat="1" applyFont="1"/>
    <xf numFmtId="0" fontId="7" fillId="0" borderId="0" xfId="0" applyFont="1"/>
    <xf numFmtId="3" fontId="7" fillId="0" borderId="0" xfId="0" applyNumberFormat="1" applyFont="1"/>
    <xf numFmtId="3" fontId="5" fillId="0" borderId="0" xfId="0" applyNumberFormat="1" applyFont="1"/>
    <xf numFmtId="164" fontId="0" fillId="0" borderId="0" xfId="0" applyNumberFormat="1"/>
    <xf numFmtId="0" fontId="9" fillId="0" borderId="0" xfId="2" applyFont="1"/>
    <xf numFmtId="0" fontId="10" fillId="0" borderId="0" xfId="2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38100</xdr:colOff>
      <xdr:row>0</xdr:row>
      <xdr:rowOff>88900</xdr:rowOff>
    </xdr:from>
    <xdr:to>
      <xdr:col>67</xdr:col>
      <xdr:colOff>38100</xdr:colOff>
      <xdr:row>97</xdr:row>
      <xdr:rowOff>50800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5585CDC-7B72-4EE2-6630-4B94E900971F}"/>
            </a:ext>
          </a:extLst>
        </xdr:cNvPr>
        <xdr:cNvCxnSpPr/>
      </xdr:nvCxnSpPr>
      <xdr:spPr>
        <a:xfrm>
          <a:off x="23152100" y="88900"/>
          <a:ext cx="0" cy="7480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llon Walton" id="{72341B3D-64ED-DE40-92E1-1286D6A616CD}" userId="S::dillon.walton@apexcleanenergy.com::d6a318a4-b905-4bee-a20f-e7b3b62104d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2" dT="2026-08-29T01:38:23.16" personId="{72341B3D-64ED-DE40-92E1-1286D6A616CD}" id="{38726785-892C-804C-8FF8-DADB51549DC9}">
    <text>Q120 Tesla shareholder letter
https://digitalassets.tesla.com/tesla-contents/image/upload/IR/TSLA_Update_Letter_2020-1Q</text>
  </threadedComment>
  <threadedComment ref="AQ2" dT="2026-08-29T01:38:23.18" personId="{72341B3D-64ED-DE40-92E1-1286D6A616CD}" id="{925AD150-B139-6741-9EC2-6FE911D37EFF}">
    <text>Q220 Tesla shareholder letter
https://digitalassets.tesla.com/tesla-contents/image/upload/IR/TSLA_Update_Letter_2020-2Q</text>
  </threadedComment>
  <threadedComment ref="AR2" dT="2026-08-29T01:38:23.18" personId="{72341B3D-64ED-DE40-92E1-1286D6A616CD}" id="{00827756-8C87-FC4E-BC39-F490C56C50B7}">
    <text>Q320 Tesla shareholder letter
https://digitalassets.tesla.com/tesla-contents/image/upload/IR/TSLA-Q3-2020-Update</text>
  </threadedComment>
  <threadedComment ref="AS2" dT="2026-08-29T01:38:23.18" personId="{72341B3D-64ED-DE40-92E1-1286D6A616CD}" id="{6BB9B9F4-FBF5-9B49-8159-98C3A5C6D3BD}">
    <text>Q420 Tesla shareholder letter
https://digitalassets.tesla.com/tesla-contents/image/upload/IR/TSLA-Q4-2020-Update</text>
  </threadedComment>
  <threadedComment ref="AT2" dT="2026-08-29T01:38:23.18" personId="{72341B3D-64ED-DE40-92E1-1286D6A616CD}" id="{978DD6E5-58E1-9F42-A7E1-A314658D4B6C}">
    <text>Q121 Tesla shareholder letter
https://digitalassets.tesla.com/tesla-contents/image/upload/IR/TSLA-Q1-2021-Update</text>
  </threadedComment>
  <threadedComment ref="AU2" dT="2026-08-29T01:38:23.18" personId="{72341B3D-64ED-DE40-92E1-1286D6A616CD}" id="{9F91B916-055A-A946-9CCD-A1E2DB92D76A}">
    <text>Q221 Tesla shareholder letter
https://digitalassets.tesla.com/tesla-contents/image/upload/IR/TSLA-Q2-2021-Update</text>
  </threadedComment>
  <threadedComment ref="AV2" dT="2026-08-29T01:38:23.18" personId="{72341B3D-64ED-DE40-92E1-1286D6A616CD}" id="{A822EA57-979C-C248-99FD-6E63FC7EFEDC}">
    <text>Q321 Tesla shareholder letter
https://digitalassets.tesla.com/tesla-contents/image/upload/IR/TSLA-Q3-2021-Quarterly-Update</text>
  </threadedComment>
  <threadedComment ref="AW2" dT="2026-08-29T01:38:23.18" personId="{72341B3D-64ED-DE40-92E1-1286D6A616CD}" id="{DA7FB16A-BE59-1C4E-AEE1-B3F29AEC4585}">
    <text>Q421 Tesla shareholder letter
https://digitalassets.tesla.com/tesla-contents/image/upload/IR/TSLA-Q4-2021-Update</text>
  </threadedComment>
  <threadedComment ref="AX2" dT="2026-08-29T01:38:23.18" personId="{72341B3D-64ED-DE40-92E1-1286D6A616CD}" id="{28B12050-6E57-1549-88E4-6182ECE76F21}">
    <text>Q122 Tesla shareholder letter
https://digitalassets.tesla.com/tesla-contents/image/upload/IR/TSLA-Q1-2022-Update</text>
  </threadedComment>
  <threadedComment ref="AY2" dT="2026-08-29T01:38:23.19" personId="{72341B3D-64ED-DE40-92E1-1286D6A616CD}" id="{E50E5CDA-5BF9-BA4A-B00E-EE3CD7609C8F}">
    <text>Q222 Tesla shareholder letter
https://digitalassets.tesla.com/tesla-contents/image/upload/IR/TSLA-Q2-2022-Update</text>
  </threadedComment>
  <threadedComment ref="AZ2" dT="2026-08-29T01:38:23.19" personId="{72341B3D-64ED-DE40-92E1-1286D6A616CD}" id="{4ACDDBCB-916E-7242-9A04-C86391B224F5}">
    <text>Q322 Tesla shareholder letter
https://digitalassets.tesla.com/tesla-contents/image/upload/IR/TSLA-Q3-2022-Update</text>
  </threadedComment>
  <threadedComment ref="BA2" dT="2026-08-29T01:38:23.19" personId="{72341B3D-64ED-DE40-92E1-1286D6A616CD}" id="{82B56D2A-B009-2049-A96C-28DAEAF35590}">
    <text>Q422 Tesla shareholder letter
https://digitalassets.tesla.com/tesla-contents/image/upload/IR/TSLA-Q4-2022-Update</text>
  </threadedComment>
  <threadedComment ref="BB2" dT="2026-08-29T01:38:23.19" personId="{72341B3D-64ED-DE40-92E1-1286D6A616CD}" id="{1D287C6F-E2D2-E345-BE86-5BE0D8B9902E}">
    <text>Q123 Tesla shareholder letter
https://digitalassets.tesla.com/tesla-contents/image/upload/IR/TSLA-Q1-2023-Update</text>
  </threadedComment>
  <threadedComment ref="BC2" dT="2026-08-29T01:38:23.19" personId="{72341B3D-64ED-DE40-92E1-1286D6A616CD}" id="{35C48961-CBB3-054F-AB67-BC31DA5D496E}">
    <text>Q223 Tesla shareholder letter
https://digitalassets.tesla.com/tesla-contents/image/upload/IR/TSLA-Q2-2023-Update.pdf</text>
  </threadedComment>
  <threadedComment ref="BD2" dT="2026-08-29T01:38:23.19" personId="{72341B3D-64ED-DE40-92E1-1286D6A616CD}" id="{2B43781E-258D-B846-ADF9-31DF09F42242}">
    <text>Q323 Tesla shareholder letter
https://digitalassets.tesla.com/tesla-contents/image/upload/IR/TSLA-Q3-2023-Update-3.pdf</text>
  </threadedComment>
  <threadedComment ref="BE2" dT="2026-08-29T01:38:23.19" personId="{72341B3D-64ED-DE40-92E1-1286D6A616CD}" id="{D67A7C5D-6506-2244-878D-DB7D6AF3E3A5}">
    <text>Q423 Tesla shareholder letter
https://digitalassets.tesla.com/tesla-contents/image/upload/IR/TSLA-Q4-2023-Update.pdf</text>
  </threadedComment>
  <threadedComment ref="BF2" dT="2026-08-29T01:38:23.19" personId="{72341B3D-64ED-DE40-92E1-1286D6A616CD}" id="{762FEB78-F3D7-6C42-9A3A-8D6E51523308}">
    <text>Q124 Tesla shareholder letter
https://digitalassets.tesla.com/tesla-contents/image/upload/IR/TSLA-Q1-2024-Update.pdf</text>
  </threadedComment>
  <threadedComment ref="BG2" dT="2026-08-29T01:38:23.19" personId="{72341B3D-64ED-DE40-92E1-1286D6A616CD}" id="{F1607007-8EEC-9642-B09C-96725A8DDB3D}">
    <text>Q224 Tesla shareholder letter
https://digitalassets.tesla.com/tesla-contents/image/upload/IR/TSLA-Q2-2024-Update.pdf</text>
  </threadedComment>
  <threadedComment ref="BH2" dT="2026-08-29T01:38:23.19" personId="{72341B3D-64ED-DE40-92E1-1286D6A616CD}" id="{68BF9E4D-74F3-1E45-AB40-9313600989E6}">
    <text>Q324 Tesla shareholder letter
https://digitalassets.tesla.com/tesla-contents/image/upload/IR/TSLA-Q3-2024-Update.pdf</text>
  </threadedComment>
  <threadedComment ref="BI2" dT="2026-08-29T01:38:23.20" personId="{72341B3D-64ED-DE40-92E1-1286D6A616CD}" id="{AB337D9C-E292-2143-B82D-380CAA0E7A81}">
    <text>Q424 Tesla shareholder letter
https://digitalassets.tesla.com/tesla-contents/image/upload/IR/TSLA-Q4-2024-Update.pdf</text>
  </threadedComment>
  <threadedComment ref="BJ2" dT="2026-08-29T01:38:23.20" personId="{72341B3D-64ED-DE40-92E1-1286D6A616CD}" id="{77FB4DF4-DAF2-6E44-9ADD-0BFD928990F8}">
    <text>Q125 Tesla shareholder letter
https://digitalassets.tesla.com/tesla-contents/image/upload/IR/IR/TSLA-Q1-2025-Update.pdf</text>
  </threadedComment>
  <threadedComment ref="BK2" dT="2026-08-29T01:38:23.20" personId="{72341B3D-64ED-DE40-92E1-1286D6A616CD}" id="{FC305755-3C2E-6748-88FA-76EFEFFEC1DA}">
    <text>Q225 Tesla shareholder letter
https://www.tesla.com/sites/default/files/downloads/TSLA-Q2-2025-Update.pdf</text>
  </threadedComment>
  <threadedComment ref="BL2" dT="2026-08-29T01:38:23.20" personId="{72341B3D-64ED-DE40-92E1-1286D6A616CD}" id="{58D8461D-D8C7-F644-A557-CB2165FF1C7B}">
    <text>Q325 Tesla shareholder letter
https://assets-ir.tesla.com/tesla-contents/IR/TSLA-Q3-2025-Update.pdf</text>
  </threadedComment>
  <threadedComment ref="BM2" dT="2026-08-29T01:38:23.20" personId="{72341B3D-64ED-DE40-92E1-1286D6A616CD}" id="{F9526E8C-ABD1-B444-95D9-E6D2FD4DA32E}">
    <text>Q425 Tesla shareholder letter
https://assets-ir.tesla.com/tesla-contents/IR/TSLA-Q4-2025-Update.pdf</text>
  </threadedComment>
  <threadedComment ref="BN2" dT="2026-08-29T01:38:23.20" personId="{72341B3D-64ED-DE40-92E1-1286D6A616CD}" id="{B4213311-BB2C-BC4D-A1BC-81FAD250A680}">
    <text>Q126 Tesla shareholder letter
https://assets-ir.tesla.com/tesla-contents/IR/TSLA-Q1-2026-Update.pdf</text>
  </threadedComment>
  <threadedComment ref="BO2" dT="2026-08-29T01:38:23.21" personId="{72341B3D-64ED-DE40-92E1-1286D6A616CD}" id="{C4663125-B0BD-7E48-8EE8-B212C568F57F}">
    <text>Q226 Tesla shareholder letter
https://assets-ir.tesla.com/tesla-contents/IR/TSLA-Q2-2026-Update.pdf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ec.gov/Archives/edgar/data/1318605/000119312516747973/d273228dex991.htm" TargetMode="External"/><Relationship Id="rId21" Type="http://schemas.openxmlformats.org/officeDocument/2006/relationships/hyperlink" Target="https://www.sec.gov/Archives/edgar/data/1318605/000119312515278803/d91160dex991.htm" TargetMode="External"/><Relationship Id="rId42" Type="http://schemas.openxmlformats.org/officeDocument/2006/relationships/hyperlink" Target="https://www.sec.gov/Archives/edgar/data/1318605/000156459020047108/tsla-ex991_57.htm" TargetMode="External"/><Relationship Id="rId47" Type="http://schemas.openxmlformats.org/officeDocument/2006/relationships/hyperlink" Target="https://www.sec.gov/Archives/edgar/data/1318605/000156459022002476/tsla-ex991_209.htm" TargetMode="External"/><Relationship Id="rId63" Type="http://schemas.openxmlformats.org/officeDocument/2006/relationships/hyperlink" Target="https://www.sec.gov/Archives/edgar/data/1318605/000162828026000016/exhibit9914.htm" TargetMode="External"/><Relationship Id="rId68" Type="http://schemas.openxmlformats.org/officeDocument/2006/relationships/comments" Target="../comments2.xml"/><Relationship Id="rId7" Type="http://schemas.openxmlformats.org/officeDocument/2006/relationships/hyperlink" Target="https://www.sec.gov/Archives/edgar/data/1318605/000119312512063402/d299083dex991.htm" TargetMode="External"/><Relationship Id="rId2" Type="http://schemas.openxmlformats.org/officeDocument/2006/relationships/hyperlink" Target="https://www.sec.gov/Archives/edgar/data/1318605/000119312510254219/dex991.htm" TargetMode="External"/><Relationship Id="rId16" Type="http://schemas.openxmlformats.org/officeDocument/2006/relationships/hyperlink" Target="https://www.sec.gov/Archives/edgar/data/1318605/000119312514187459/d722173dex991.htm" TargetMode="External"/><Relationship Id="rId29" Type="http://schemas.openxmlformats.org/officeDocument/2006/relationships/hyperlink" Target="https://www.sec.gov/Archives/edgar/data/1318605/000156459017014920/tsla-ex991_90.htm" TargetMode="External"/><Relationship Id="rId11" Type="http://schemas.openxmlformats.org/officeDocument/2006/relationships/hyperlink" Target="https://www.sec.gov/Archives/edgar/data/1318605/000119312513067177/d462441dex991.htm" TargetMode="External"/><Relationship Id="rId24" Type="http://schemas.openxmlformats.org/officeDocument/2006/relationships/hyperlink" Target="https://www.sec.gov/Archives/edgar/data/1318605/000119312516577582/d158845dex991.htm" TargetMode="External"/><Relationship Id="rId32" Type="http://schemas.openxmlformats.org/officeDocument/2006/relationships/hyperlink" Target="https://www.sec.gov/Archives/edgar/data/1318605/000156459018010306/tsla-ex991_7.htm" TargetMode="External"/><Relationship Id="rId37" Type="http://schemas.openxmlformats.org/officeDocument/2006/relationships/hyperlink" Target="https://www.sec.gov/Archives/edgar/data/1318605/000156459019024414/tsla-ex991_14.htm" TargetMode="External"/><Relationship Id="rId40" Type="http://schemas.openxmlformats.org/officeDocument/2006/relationships/hyperlink" Target="https://www.sec.gov/Archives/edgar/data/1318605/000156459020019776/tsla-ex9901_96.htm" TargetMode="External"/><Relationship Id="rId45" Type="http://schemas.openxmlformats.org/officeDocument/2006/relationships/hyperlink" Target="https://www.sec.gov/Archives/edgar/data/1318605/000156459021037953/tsla-ex991_89.htm" TargetMode="External"/><Relationship Id="rId53" Type="http://schemas.openxmlformats.org/officeDocument/2006/relationships/hyperlink" Target="https://www.sec.gov/Archives/edgar/data/1318605/000095017023033544/tsla-ex99_1.htm" TargetMode="External"/><Relationship Id="rId58" Type="http://schemas.openxmlformats.org/officeDocument/2006/relationships/hyperlink" Target="https://www.sec.gov/Archives/edgar/data/1318605/000162828025002993/exhibit991.htm" TargetMode="External"/><Relationship Id="rId66" Type="http://schemas.openxmlformats.org/officeDocument/2006/relationships/drawing" Target="../drawings/drawing1.xml"/><Relationship Id="rId5" Type="http://schemas.openxmlformats.org/officeDocument/2006/relationships/hyperlink" Target="https://www.sec.gov/Archives/edgar/data/1318605/000119312511208287/dex991.htm" TargetMode="External"/><Relationship Id="rId61" Type="http://schemas.openxmlformats.org/officeDocument/2006/relationships/hyperlink" Target="https://www.sec.gov/Archives/edgar/data/1318605/000162828025035738/exhibit991.htm" TargetMode="External"/><Relationship Id="rId19" Type="http://schemas.openxmlformats.org/officeDocument/2006/relationships/hyperlink" Target="https://www.sec.gov/Archives/edgar/data/1318605/000119312515044423/d853966dex991.htm" TargetMode="External"/><Relationship Id="rId14" Type="http://schemas.openxmlformats.org/officeDocument/2006/relationships/hyperlink" Target="https://www.sec.gov/Archives/edgar/data/1318605/000119312513427630/d622890dex991.htm" TargetMode="External"/><Relationship Id="rId22" Type="http://schemas.openxmlformats.org/officeDocument/2006/relationships/hyperlink" Target="https://www.sec.gov/Archives/edgar/data/1318605/000119312515364285/d50904dex991.htm" TargetMode="External"/><Relationship Id="rId27" Type="http://schemas.openxmlformats.org/officeDocument/2006/relationships/hyperlink" Target="https://www.sec.gov/Archives/edgar/data/1318605/000119312517052093/d322970dex991.htm" TargetMode="External"/><Relationship Id="rId30" Type="http://schemas.openxmlformats.org/officeDocument/2006/relationships/hyperlink" Target="https://www.sec.gov/Archives/edgar/data/1318605/000156459017019158/tsla-ex991_6.htm" TargetMode="External"/><Relationship Id="rId35" Type="http://schemas.openxmlformats.org/officeDocument/2006/relationships/hyperlink" Target="https://www.sec.gov/Archives/edgar/data/1318605/000156459019010743/tsla-ex991_6.htm" TargetMode="External"/><Relationship Id="rId43" Type="http://schemas.openxmlformats.org/officeDocument/2006/relationships/hyperlink" Target="https://www.sec.gov/Archives/edgar/data/1318605/000156459021002645/tsla-ex991_99.htm" TargetMode="External"/><Relationship Id="rId48" Type="http://schemas.openxmlformats.org/officeDocument/2006/relationships/hyperlink" Target="https://www.sec.gov/Archives/edgar/data/1318605/000156459022014917/tsla-ex991_151.htm" TargetMode="External"/><Relationship Id="rId56" Type="http://schemas.openxmlformats.org/officeDocument/2006/relationships/hyperlink" Target="https://www.sec.gov/Archives/edgar/data/1318605/000095017024046895/tsla-ex99_1.htm" TargetMode="External"/><Relationship Id="rId64" Type="http://schemas.openxmlformats.org/officeDocument/2006/relationships/hyperlink" Target="https://www.sec.gov/Archives/edgar/data/1318605/000162828026022956/exhibit9911111.htm" TargetMode="External"/><Relationship Id="rId69" Type="http://schemas.microsoft.com/office/2017/10/relationships/threadedComment" Target="../threadedComments/threadedComment1.xml"/><Relationship Id="rId8" Type="http://schemas.openxmlformats.org/officeDocument/2006/relationships/hyperlink" Target="https://www.sec.gov/Archives/edgar/data/1318605/000119312512221988/d344520dex991.htm" TargetMode="External"/><Relationship Id="rId51" Type="http://schemas.openxmlformats.org/officeDocument/2006/relationships/hyperlink" Target="https://www.sec.gov/Archives/edgar/data/1318605/000156459023000799/tsla-ex991_127.htm" TargetMode="External"/><Relationship Id="rId3" Type="http://schemas.openxmlformats.org/officeDocument/2006/relationships/hyperlink" Target="https://www.sec.gov/Archives/edgar/data/1318605/000119312511036784/dex991.htm" TargetMode="External"/><Relationship Id="rId12" Type="http://schemas.openxmlformats.org/officeDocument/2006/relationships/hyperlink" Target="https://www.sec.gov/Archives/edgar/data/1318605/000119312513207910/d532640dex991.htm" TargetMode="External"/><Relationship Id="rId17" Type="http://schemas.openxmlformats.org/officeDocument/2006/relationships/hyperlink" Target="https://www.sec.gov/Archives/edgar/data/1318605/000119312514289598/d764668dex991.htm" TargetMode="External"/><Relationship Id="rId25" Type="http://schemas.openxmlformats.org/officeDocument/2006/relationships/hyperlink" Target="https://www.sec.gov/Archives/edgar/data/1318605/000119312516670068/d234162dex991.htm" TargetMode="External"/><Relationship Id="rId33" Type="http://schemas.openxmlformats.org/officeDocument/2006/relationships/hyperlink" Target="https://www.sec.gov/Archives/edgar/data/1318605/000156459018016465/tsla-ex991_6.htm" TargetMode="External"/><Relationship Id="rId38" Type="http://schemas.openxmlformats.org/officeDocument/2006/relationships/hyperlink" Target="https://www.sec.gov/Archives/edgar/data/1318605/000156459019037581/tsla-ex991_154.htm" TargetMode="External"/><Relationship Id="rId46" Type="http://schemas.openxmlformats.org/officeDocument/2006/relationships/hyperlink" Target="https://www.sec.gov/Archives/edgar/data/1318605/000156459021051307/tsla-ex991_85.htm" TargetMode="External"/><Relationship Id="rId59" Type="http://schemas.openxmlformats.org/officeDocument/2006/relationships/hyperlink" Target="https://www.sec.gov/Archives/edgar/data/1318605/000162828025002993/exhibit991.htm" TargetMode="External"/><Relationship Id="rId67" Type="http://schemas.openxmlformats.org/officeDocument/2006/relationships/vmlDrawing" Target="../drawings/vmlDrawing2.vml"/><Relationship Id="rId20" Type="http://schemas.openxmlformats.org/officeDocument/2006/relationships/hyperlink" Target="https://www.sec.gov/Archives/edgar/data/1318605/000119312515174639/d920831dex991.htm" TargetMode="External"/><Relationship Id="rId41" Type="http://schemas.openxmlformats.org/officeDocument/2006/relationships/hyperlink" Target="https://www.sec.gov/Archives/edgar/data/1318605/000156459020039353/tsla-ex991_6.htm" TargetMode="External"/><Relationship Id="rId54" Type="http://schemas.openxmlformats.org/officeDocument/2006/relationships/hyperlink" Target="https://www.sec.gov/Archives/edgar/data/1318605/000162828023034588/exhibit991.htm" TargetMode="External"/><Relationship Id="rId62" Type="http://schemas.openxmlformats.org/officeDocument/2006/relationships/hyperlink" Target="https://www.sec.gov/Archives/edgar/data/1318605/000162828025045861/exhibit991.htm" TargetMode="External"/><Relationship Id="rId1" Type="http://schemas.openxmlformats.org/officeDocument/2006/relationships/hyperlink" Target="https://www.sec.gov/Archives/edgar/data/1318605/000119312510177203/dex991.htm" TargetMode="External"/><Relationship Id="rId6" Type="http://schemas.openxmlformats.org/officeDocument/2006/relationships/hyperlink" Target="https://www.sec.gov/Archives/edgar/data/1318605/000119312511292996/d249698dex991.htm" TargetMode="External"/><Relationship Id="rId15" Type="http://schemas.openxmlformats.org/officeDocument/2006/relationships/hyperlink" Target="https://www.sec.gov/Archives/edgar/data/1318605/000119312514058778/d676319dex991.htm" TargetMode="External"/><Relationship Id="rId23" Type="http://schemas.openxmlformats.org/officeDocument/2006/relationships/hyperlink" Target="https://www.sec.gov/Archives/edgar/data/1318605/000119312516418701/d106308dex991.htm" TargetMode="External"/><Relationship Id="rId28" Type="http://schemas.openxmlformats.org/officeDocument/2006/relationships/hyperlink" Target="https://www.sec.gov/Archives/edgar/data/1318605/000156459017005875/tsla-ex991_6.htm" TargetMode="External"/><Relationship Id="rId36" Type="http://schemas.openxmlformats.org/officeDocument/2006/relationships/hyperlink" Target="https://www.sec.gov/Archives/edgar/data/1318605/000156459019018876/tsla-ex991_15.htm" TargetMode="External"/><Relationship Id="rId49" Type="http://schemas.openxmlformats.org/officeDocument/2006/relationships/hyperlink" Target="https://www.sec.gov/Archives/edgar/data/1318605/000156459022028207/tsla-ex991_6.htm" TargetMode="External"/><Relationship Id="rId57" Type="http://schemas.openxmlformats.org/officeDocument/2006/relationships/hyperlink" Target="https://www.sec.gov/Archives/edgar/data/1318605/000162828024032603/exhibit.htm" TargetMode="External"/><Relationship Id="rId10" Type="http://schemas.openxmlformats.org/officeDocument/2006/relationships/hyperlink" Target="https://www.sec.gov/Archives/edgar/data/1318605/000119312512450383/d432726dex991.htm" TargetMode="External"/><Relationship Id="rId31" Type="http://schemas.openxmlformats.org/officeDocument/2006/relationships/hyperlink" Target="https://www.sec.gov/Archives/edgar/data/1318605/000156459018001521/tsla-ex991_8.htm" TargetMode="External"/><Relationship Id="rId44" Type="http://schemas.openxmlformats.org/officeDocument/2006/relationships/hyperlink" Target="https://www.sec.gov/Archives/edgar/data/1318605/000156459021020558/tsla-ex99_136.htm" TargetMode="External"/><Relationship Id="rId52" Type="http://schemas.openxmlformats.org/officeDocument/2006/relationships/hyperlink" Target="https://www.sec.gov/Archives/edgar/data/1318605/000156459023005959/tsla-ex991_99.htm" TargetMode="External"/><Relationship Id="rId60" Type="http://schemas.openxmlformats.org/officeDocument/2006/relationships/hyperlink" Target="https://www.sec.gov/Archives/edgar/data/1318605/000162828025018851/exhbit991.htm" TargetMode="External"/><Relationship Id="rId65" Type="http://schemas.openxmlformats.org/officeDocument/2006/relationships/hyperlink" Target="https://www.sec.gov/Archives/edgar/data/1318605/000162828026046717/exhibit99111111.htm" TargetMode="External"/><Relationship Id="rId4" Type="http://schemas.openxmlformats.org/officeDocument/2006/relationships/hyperlink" Target="https://www.sec.gov/Archives/edgar/data/1318605/000119312511126139/dex991.htm" TargetMode="External"/><Relationship Id="rId9" Type="http://schemas.openxmlformats.org/officeDocument/2006/relationships/hyperlink" Target="https://www.sec.gov/Archives/edgar/data/1318605/000119312512314408/d380890dex991.htm" TargetMode="External"/><Relationship Id="rId13" Type="http://schemas.openxmlformats.org/officeDocument/2006/relationships/hyperlink" Target="https://www.sec.gov/Archives/edgar/data/1318605/000119312513324129/d578387dex991.htm" TargetMode="External"/><Relationship Id="rId18" Type="http://schemas.openxmlformats.org/officeDocument/2006/relationships/hyperlink" Target="https://www.sec.gov/Archives/edgar/data/1318605/000119312514398650/d815233dex991.htm" TargetMode="External"/><Relationship Id="rId39" Type="http://schemas.openxmlformats.org/officeDocument/2006/relationships/hyperlink" Target="https://www.sec.gov/Archives/edgar/data/1318605/000156459020011823/tsla-ex991_6.htm" TargetMode="External"/><Relationship Id="rId34" Type="http://schemas.openxmlformats.org/officeDocument/2006/relationships/hyperlink" Target="https://www.sec.gov/Archives/edgar/data/1318605/000156459018023815/tsla-ex991_6.htm" TargetMode="External"/><Relationship Id="rId50" Type="http://schemas.openxmlformats.org/officeDocument/2006/relationships/hyperlink" Target="https://www.sec.gov/Archives/edgar/data/1318605/000156459022034639/tsla-ex991_89.htm" TargetMode="External"/><Relationship Id="rId55" Type="http://schemas.openxmlformats.org/officeDocument/2006/relationships/hyperlink" Target="https://www.sec.gov/Archives/edgar/data/1318605/000162828024002390/tsla-2023123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D9ED-2B2C-2544-8EDE-5AC0250957CF}">
  <dimension ref="C4:L34"/>
  <sheetViews>
    <sheetView tabSelected="1" workbookViewId="0">
      <selection activeCell="D31" sqref="D31"/>
    </sheetView>
  </sheetViews>
  <sheetFormatPr defaultColWidth="11" defaultRowHeight="15.75" x14ac:dyDescent="0.25"/>
  <cols>
    <col min="3" max="3" width="12.875" bestFit="1" customWidth="1"/>
    <col min="12" max="12" width="12.625" bestFit="1" customWidth="1"/>
  </cols>
  <sheetData>
    <row r="4" spans="3:12" x14ac:dyDescent="0.25">
      <c r="C4" t="s">
        <v>116</v>
      </c>
      <c r="D4" t="s">
        <v>103</v>
      </c>
      <c r="K4" t="s">
        <v>37</v>
      </c>
      <c r="L4" s="1">
        <v>348.75</v>
      </c>
    </row>
    <row r="5" spans="3:12" x14ac:dyDescent="0.25">
      <c r="C5" t="s">
        <v>117</v>
      </c>
      <c r="D5" t="s">
        <v>127</v>
      </c>
      <c r="K5" t="s">
        <v>38</v>
      </c>
      <c r="L5" s="1">
        <v>3949547.3939999999</v>
      </c>
    </row>
    <row r="6" spans="3:12" x14ac:dyDescent="0.25">
      <c r="C6" t="s">
        <v>117</v>
      </c>
      <c r="D6" t="s">
        <v>134</v>
      </c>
      <c r="K6" t="s">
        <v>39</v>
      </c>
      <c r="L6" s="1">
        <f>L5*L4</f>
        <v>1377404653.6575</v>
      </c>
    </row>
    <row r="7" spans="3:12" x14ac:dyDescent="0.25">
      <c r="C7" t="s">
        <v>128</v>
      </c>
      <c r="K7" t="s">
        <v>40</v>
      </c>
      <c r="L7" s="1">
        <f>15219+28305</f>
        <v>43524</v>
      </c>
    </row>
    <row r="8" spans="3:12" x14ac:dyDescent="0.25">
      <c r="K8" t="s">
        <v>41</v>
      </c>
      <c r="L8" s="1">
        <f>1418+7924</f>
        <v>9342</v>
      </c>
    </row>
    <row r="9" spans="3:12" x14ac:dyDescent="0.25">
      <c r="K9" t="s">
        <v>42</v>
      </c>
      <c r="L9" s="1">
        <f>L6-L7+L8</f>
        <v>1377370471.6575</v>
      </c>
    </row>
    <row r="10" spans="3:12" x14ac:dyDescent="0.25">
      <c r="C10" t="s">
        <v>99</v>
      </c>
    </row>
    <row r="11" spans="3:12" x14ac:dyDescent="0.25">
      <c r="C11" t="s">
        <v>100</v>
      </c>
    </row>
    <row r="12" spans="3:12" x14ac:dyDescent="0.25">
      <c r="C12" t="s">
        <v>101</v>
      </c>
    </row>
    <row r="13" spans="3:12" x14ac:dyDescent="0.25">
      <c r="C13" t="s">
        <v>102</v>
      </c>
    </row>
    <row r="14" spans="3:12" x14ac:dyDescent="0.25">
      <c r="C14" t="s">
        <v>103</v>
      </c>
    </row>
    <row r="15" spans="3:12" x14ac:dyDescent="0.25">
      <c r="K15" t="s">
        <v>118</v>
      </c>
    </row>
    <row r="16" spans="3:12" x14ac:dyDescent="0.25">
      <c r="K16" t="s">
        <v>119</v>
      </c>
    </row>
    <row r="17" spans="3:11" x14ac:dyDescent="0.25">
      <c r="C17" t="s">
        <v>114</v>
      </c>
      <c r="K17" t="s">
        <v>120</v>
      </c>
    </row>
    <row r="18" spans="3:11" x14ac:dyDescent="0.25">
      <c r="C18" t="s">
        <v>115</v>
      </c>
      <c r="K18" t="s">
        <v>121</v>
      </c>
    </row>
    <row r="19" spans="3:11" x14ac:dyDescent="0.25">
      <c r="C19" t="s">
        <v>106</v>
      </c>
      <c r="K19" t="s">
        <v>122</v>
      </c>
    </row>
    <row r="20" spans="3:11" x14ac:dyDescent="0.25">
      <c r="C20" t="s">
        <v>107</v>
      </c>
    </row>
    <row r="21" spans="3:11" x14ac:dyDescent="0.25">
      <c r="C21" t="s">
        <v>108</v>
      </c>
    </row>
    <row r="22" spans="3:11" x14ac:dyDescent="0.25">
      <c r="C22" t="s">
        <v>109</v>
      </c>
    </row>
    <row r="23" spans="3:11" x14ac:dyDescent="0.25">
      <c r="C23" t="s">
        <v>110</v>
      </c>
    </row>
    <row r="24" spans="3:11" x14ac:dyDescent="0.25">
      <c r="C24" t="s">
        <v>111</v>
      </c>
    </row>
    <row r="26" spans="3:11" x14ac:dyDescent="0.25">
      <c r="C26" t="s">
        <v>131</v>
      </c>
      <c r="D26" t="s">
        <v>123</v>
      </c>
    </row>
    <row r="27" spans="3:11" x14ac:dyDescent="0.25">
      <c r="C27" t="s">
        <v>132</v>
      </c>
    </row>
    <row r="28" spans="3:11" x14ac:dyDescent="0.25">
      <c r="C28" t="s">
        <v>133</v>
      </c>
    </row>
    <row r="29" spans="3:11" x14ac:dyDescent="0.25">
      <c r="C29" t="s">
        <v>135</v>
      </c>
    </row>
    <row r="30" spans="3:11" x14ac:dyDescent="0.25">
      <c r="C30" t="s">
        <v>136</v>
      </c>
    </row>
    <row r="31" spans="3:11" x14ac:dyDescent="0.25">
      <c r="C31" t="s">
        <v>137</v>
      </c>
    </row>
    <row r="32" spans="3:11" x14ac:dyDescent="0.25">
      <c r="C32" t="s">
        <v>113</v>
      </c>
    </row>
    <row r="34" spans="3:3" x14ac:dyDescent="0.25">
      <c r="C34" t="s">
        <v>112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1473-2AA8-9C48-B00A-DBC01DC80D0B}">
  <dimension ref="B4:B11"/>
  <sheetViews>
    <sheetView workbookViewId="0">
      <selection activeCell="E37" sqref="E37"/>
    </sheetView>
  </sheetViews>
  <sheetFormatPr defaultColWidth="11" defaultRowHeight="15.75" x14ac:dyDescent="0.25"/>
  <sheetData>
    <row r="4" spans="2:2" x14ac:dyDescent="0.25">
      <c r="B4" t="s">
        <v>99</v>
      </c>
    </row>
    <row r="5" spans="2:2" x14ac:dyDescent="0.25">
      <c r="B5" t="s">
        <v>129</v>
      </c>
    </row>
    <row r="6" spans="2:2" x14ac:dyDescent="0.25">
      <c r="B6" t="s">
        <v>128</v>
      </c>
    </row>
    <row r="7" spans="2:2" x14ac:dyDescent="0.25">
      <c r="B7" t="s">
        <v>130</v>
      </c>
    </row>
    <row r="9" spans="2:2" x14ac:dyDescent="0.25">
      <c r="B9" t="s">
        <v>131</v>
      </c>
    </row>
    <row r="10" spans="2:2" x14ac:dyDescent="0.25">
      <c r="B10" t="s">
        <v>132</v>
      </c>
    </row>
    <row r="11" spans="2:2" x14ac:dyDescent="0.25">
      <c r="B11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641C-A60E-1D48-998E-8C4C1E1253D6}">
  <dimension ref="A2:CU96"/>
  <sheetViews>
    <sheetView workbookViewId="0">
      <pane xSplit="2" ySplit="2" topLeftCell="CB3" activePane="bottomRight" state="frozen"/>
      <selection pane="topRight" activeCell="C1" sqref="C1"/>
      <selection pane="bottomLeft" activeCell="A3" sqref="A3"/>
      <selection pane="bottomRight" activeCell="CN2" sqref="CN2"/>
    </sheetView>
  </sheetViews>
  <sheetFormatPr defaultColWidth="11" defaultRowHeight="15.75" x14ac:dyDescent="0.25"/>
  <cols>
    <col min="2" max="2" width="23.5" bestFit="1" customWidth="1"/>
    <col min="3" max="41" width="23.5" customWidth="1"/>
  </cols>
  <sheetData>
    <row r="2" spans="1:99" x14ac:dyDescent="0.25">
      <c r="C2" s="13" t="s">
        <v>138</v>
      </c>
      <c r="D2" s="13" t="s">
        <v>139</v>
      </c>
      <c r="E2" s="13" t="s">
        <v>140</v>
      </c>
      <c r="F2" s="13" t="s">
        <v>141</v>
      </c>
      <c r="G2" s="13" t="s">
        <v>142</v>
      </c>
      <c r="H2" s="13" t="s">
        <v>143</v>
      </c>
      <c r="I2" s="13" t="s">
        <v>144</v>
      </c>
      <c r="J2" s="13" t="s">
        <v>145</v>
      </c>
      <c r="K2" s="13" t="s">
        <v>146</v>
      </c>
      <c r="L2" s="13" t="s">
        <v>147</v>
      </c>
      <c r="M2" s="13" t="s">
        <v>148</v>
      </c>
      <c r="N2" s="13" t="s">
        <v>149</v>
      </c>
      <c r="O2" s="13" t="s">
        <v>150</v>
      </c>
      <c r="P2" s="13" t="s">
        <v>151</v>
      </c>
      <c r="Q2" s="13" t="s">
        <v>152</v>
      </c>
      <c r="R2" s="13" t="s">
        <v>153</v>
      </c>
      <c r="S2" s="13" t="s">
        <v>154</v>
      </c>
      <c r="T2" s="13" t="s">
        <v>155</v>
      </c>
      <c r="U2" s="13" t="s">
        <v>156</v>
      </c>
      <c r="V2" s="13" t="s">
        <v>157</v>
      </c>
      <c r="W2" s="13" t="s">
        <v>158</v>
      </c>
      <c r="X2" s="13" t="s">
        <v>159</v>
      </c>
      <c r="Y2" s="13" t="s">
        <v>160</v>
      </c>
      <c r="Z2" s="13" t="s">
        <v>161</v>
      </c>
      <c r="AA2" s="13" t="s">
        <v>162</v>
      </c>
      <c r="AB2" s="13" t="s">
        <v>163</v>
      </c>
      <c r="AC2" s="13" t="s">
        <v>164</v>
      </c>
      <c r="AD2" s="13" t="s">
        <v>165</v>
      </c>
      <c r="AE2" s="13" t="s">
        <v>166</v>
      </c>
      <c r="AF2" s="13" t="s">
        <v>167</v>
      </c>
      <c r="AG2" s="13" t="s">
        <v>168</v>
      </c>
      <c r="AH2" s="13" t="s">
        <v>169</v>
      </c>
      <c r="AI2" s="13" t="s">
        <v>170</v>
      </c>
      <c r="AJ2" s="13" t="s">
        <v>171</v>
      </c>
      <c r="AK2" s="13" t="s">
        <v>172</v>
      </c>
      <c r="AL2" s="13" t="s">
        <v>173</v>
      </c>
      <c r="AM2" s="13" t="s">
        <v>174</v>
      </c>
      <c r="AN2" s="13" t="s">
        <v>175</v>
      </c>
      <c r="AO2" s="13" t="s">
        <v>176</v>
      </c>
      <c r="AP2" s="13" t="s">
        <v>1</v>
      </c>
      <c r="AQ2" s="13" t="s">
        <v>2</v>
      </c>
      <c r="AR2" s="13" t="s">
        <v>3</v>
      </c>
      <c r="AS2" s="13" t="s">
        <v>4</v>
      </c>
      <c r="AT2" s="13" t="s">
        <v>5</v>
      </c>
      <c r="AU2" s="13" t="s">
        <v>6</v>
      </c>
      <c r="AV2" s="13" t="s">
        <v>7</v>
      </c>
      <c r="AW2" s="13" t="s">
        <v>8</v>
      </c>
      <c r="AX2" s="13" t="s">
        <v>9</v>
      </c>
      <c r="AY2" s="13" t="s">
        <v>10</v>
      </c>
      <c r="AZ2" s="13" t="s">
        <v>11</v>
      </c>
      <c r="BA2" s="13" t="s">
        <v>12</v>
      </c>
      <c r="BB2" s="13" t="s">
        <v>13</v>
      </c>
      <c r="BC2" s="13" t="s">
        <v>14</v>
      </c>
      <c r="BD2" s="13" t="s">
        <v>15</v>
      </c>
      <c r="BE2" s="14" t="s">
        <v>16</v>
      </c>
      <c r="BF2" s="13" t="s">
        <v>17</v>
      </c>
      <c r="BG2" s="13" t="s">
        <v>18</v>
      </c>
      <c r="BH2" s="13" t="s">
        <v>19</v>
      </c>
      <c r="BI2" s="13" t="s">
        <v>20</v>
      </c>
      <c r="BJ2" s="13" t="s">
        <v>21</v>
      </c>
      <c r="BK2" s="13" t="s">
        <v>22</v>
      </c>
      <c r="BL2" s="13" t="s">
        <v>23</v>
      </c>
      <c r="BM2" s="13" t="s">
        <v>24</v>
      </c>
      <c r="BN2" s="13" t="s">
        <v>25</v>
      </c>
      <c r="BO2" s="13" t="s">
        <v>26</v>
      </c>
      <c r="BP2" t="s">
        <v>27</v>
      </c>
      <c r="BQ2" t="s">
        <v>28</v>
      </c>
      <c r="BR2" t="s">
        <v>29</v>
      </c>
      <c r="BS2" t="s">
        <v>30</v>
      </c>
      <c r="BT2" t="s">
        <v>31</v>
      </c>
      <c r="BU2" t="s">
        <v>32</v>
      </c>
      <c r="BV2" t="s">
        <v>33</v>
      </c>
      <c r="BW2" t="s">
        <v>34</v>
      </c>
      <c r="BX2" t="s">
        <v>35</v>
      </c>
      <c r="BY2" t="s">
        <v>36</v>
      </c>
      <c r="CA2">
        <v>2010</v>
      </c>
      <c r="CB2">
        <v>2011</v>
      </c>
      <c r="CC2">
        <v>2012</v>
      </c>
      <c r="CD2">
        <v>2013</v>
      </c>
      <c r="CE2">
        <v>2014</v>
      </c>
      <c r="CF2">
        <v>2015</v>
      </c>
      <c r="CG2">
        <v>2016</v>
      </c>
      <c r="CH2">
        <v>2017</v>
      </c>
      <c r="CI2">
        <v>2018</v>
      </c>
      <c r="CJ2">
        <v>2019</v>
      </c>
      <c r="CK2">
        <v>2020</v>
      </c>
      <c r="CL2">
        <v>2021</v>
      </c>
      <c r="CM2">
        <v>2022</v>
      </c>
      <c r="CN2">
        <v>2023</v>
      </c>
      <c r="CO2">
        <v>2024</v>
      </c>
      <c r="CP2">
        <v>2025</v>
      </c>
      <c r="CQ2">
        <v>2026</v>
      </c>
      <c r="CR2">
        <v>2027</v>
      </c>
      <c r="CS2">
        <v>2028</v>
      </c>
      <c r="CT2">
        <v>2029</v>
      </c>
      <c r="CU2">
        <v>2030</v>
      </c>
    </row>
    <row r="3" spans="1:99" x14ac:dyDescent="0.25"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spans="1:99" x14ac:dyDescent="0.25">
      <c r="A4" t="s">
        <v>104</v>
      </c>
      <c r="B4" t="s">
        <v>105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99" x14ac:dyDescent="0.25">
      <c r="B5" t="s">
        <v>105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99" x14ac:dyDescent="0.25"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99" x14ac:dyDescent="0.25"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99" x14ac:dyDescent="0.25"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99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 spans="1:99" s="7" customFormat="1" x14ac:dyDescent="0.25">
      <c r="B10" s="7" t="s">
        <v>93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">
        <v>396835</v>
      </c>
      <c r="BL10" s="1"/>
      <c r="BM10" s="1"/>
      <c r="BN10" s="1"/>
      <c r="BO10" s="1"/>
      <c r="BP10" s="1"/>
      <c r="BQ10" s="1"/>
      <c r="BR10" s="1"/>
      <c r="BS10" s="11"/>
      <c r="BT10" s="11"/>
      <c r="BU10" s="11"/>
    </row>
    <row r="11" spans="1:99" s="7" customFormat="1" x14ac:dyDescent="0.25">
      <c r="B11" s="7" t="s">
        <v>94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">
        <v>13409</v>
      </c>
      <c r="BL11" s="1"/>
      <c r="BM11" s="1"/>
      <c r="BN11" s="1"/>
      <c r="BO11" s="1"/>
      <c r="BP11" s="1"/>
      <c r="BQ11" s="1"/>
      <c r="BR11" s="1"/>
      <c r="BS11" s="11"/>
      <c r="BT11" s="11"/>
      <c r="BU11" s="11"/>
    </row>
    <row r="12" spans="1:99" s="7" customFormat="1" x14ac:dyDescent="0.25">
      <c r="B12" s="7" t="s">
        <v>95</v>
      </c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1">
        <f>SUM(BK10:BK11)</f>
        <v>410244</v>
      </c>
      <c r="BL12" s="1"/>
      <c r="BM12" s="1"/>
      <c r="BN12" s="1"/>
      <c r="BO12" s="1"/>
      <c r="BP12" s="1"/>
      <c r="BQ12" s="1"/>
      <c r="BR12" s="1"/>
    </row>
    <row r="13" spans="1:99" s="7" customFormat="1" x14ac:dyDescent="0.25"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1"/>
      <c r="BL13" s="1"/>
      <c r="BM13" s="1"/>
      <c r="BN13" s="1"/>
      <c r="BO13" s="1"/>
      <c r="BP13" s="1"/>
      <c r="BQ13" s="1"/>
      <c r="BR13" s="1"/>
    </row>
    <row r="14" spans="1:99" s="7" customFormat="1" x14ac:dyDescent="0.25">
      <c r="B14" s="7" t="s">
        <v>96</v>
      </c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1"/>
      <c r="BL14" s="1"/>
      <c r="BM14" s="1"/>
      <c r="BN14" s="1"/>
      <c r="BO14" s="1"/>
      <c r="BP14" s="1"/>
      <c r="BQ14" s="1"/>
      <c r="BR14" s="1"/>
    </row>
    <row r="15" spans="1:99" s="7" customFormat="1" x14ac:dyDescent="0.25">
      <c r="B15" s="7" t="s">
        <v>97</v>
      </c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1"/>
      <c r="BL15" s="1"/>
      <c r="BM15" s="1"/>
      <c r="BN15" s="1"/>
      <c r="BO15" s="1"/>
      <c r="BP15" s="1"/>
      <c r="BQ15" s="1"/>
      <c r="BR15" s="1"/>
    </row>
    <row r="16" spans="1:99" s="7" customFormat="1" x14ac:dyDescent="0.25"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1"/>
      <c r="BL16" s="1"/>
      <c r="BM16" s="1"/>
      <c r="BN16" s="1"/>
      <c r="BO16" s="1"/>
      <c r="BP16" s="1"/>
      <c r="BQ16" s="1"/>
      <c r="BR16" s="1"/>
    </row>
    <row r="17" spans="2:67" s="7" customFormat="1" x14ac:dyDescent="0.25"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</row>
    <row r="18" spans="2:67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2:67" x14ac:dyDescent="0.25">
      <c r="B19" t="s">
        <v>45</v>
      </c>
      <c r="BK19" s="1">
        <v>15787</v>
      </c>
      <c r="BL19" s="1">
        <v>20359</v>
      </c>
      <c r="BM19" s="1">
        <v>16750</v>
      </c>
      <c r="BN19" s="1">
        <v>15473</v>
      </c>
      <c r="BO19" s="1">
        <v>20006</v>
      </c>
    </row>
    <row r="20" spans="2:67" x14ac:dyDescent="0.25">
      <c r="B20" t="s">
        <v>49</v>
      </c>
      <c r="BK20" s="1">
        <v>13567</v>
      </c>
      <c r="BL20" s="1">
        <v>17365</v>
      </c>
      <c r="BM20" s="1">
        <v>13874</v>
      </c>
      <c r="BN20" s="1">
        <v>12616</v>
      </c>
      <c r="BO20" s="1">
        <v>16866</v>
      </c>
    </row>
    <row r="22" spans="2:67" x14ac:dyDescent="0.25">
      <c r="BK22" s="1"/>
      <c r="BL22" s="1"/>
      <c r="BM22" s="1"/>
      <c r="BN22" s="1"/>
      <c r="BO22" s="1"/>
    </row>
    <row r="23" spans="2:67" x14ac:dyDescent="0.25">
      <c r="B23" t="s">
        <v>47</v>
      </c>
      <c r="BK23" s="1">
        <v>435</v>
      </c>
      <c r="BL23" s="1">
        <v>429</v>
      </c>
      <c r="BM23" s="1">
        <v>401</v>
      </c>
      <c r="BN23" s="1">
        <v>381</v>
      </c>
      <c r="BO23" s="1">
        <v>364</v>
      </c>
    </row>
    <row r="24" spans="2:67" x14ac:dyDescent="0.25">
      <c r="B24" t="s">
        <v>51</v>
      </c>
      <c r="BK24" s="1">
        <v>228</v>
      </c>
      <c r="BL24" s="1">
        <v>225</v>
      </c>
      <c r="BM24" s="1">
        <v>206</v>
      </c>
      <c r="BN24" s="1">
        <v>196</v>
      </c>
      <c r="BO24" s="1">
        <v>187</v>
      </c>
    </row>
    <row r="26" spans="2:67" x14ac:dyDescent="0.25">
      <c r="BK26" s="1"/>
      <c r="BL26" s="1"/>
      <c r="BM26" s="1"/>
      <c r="BN26" s="1"/>
      <c r="BO26" s="1"/>
    </row>
    <row r="27" spans="2:67" x14ac:dyDescent="0.25">
      <c r="B27" t="s">
        <v>46</v>
      </c>
      <c r="BK27" s="1">
        <v>439</v>
      </c>
      <c r="BL27" s="1">
        <v>417</v>
      </c>
      <c r="BM27" s="1">
        <v>542</v>
      </c>
      <c r="BN27" s="1">
        <v>380</v>
      </c>
      <c r="BO27" s="1">
        <v>146</v>
      </c>
    </row>
    <row r="28" spans="2:67" x14ac:dyDescent="0.25">
      <c r="BK28" s="1"/>
      <c r="BL28" s="1"/>
      <c r="BM28" s="1"/>
      <c r="BN28" s="1"/>
      <c r="BO28" s="1"/>
    </row>
    <row r="29" spans="2:67" x14ac:dyDescent="0.25">
      <c r="B29" t="s">
        <v>65</v>
      </c>
      <c r="BK29" s="5">
        <f>1-(BK20/BK19)</f>
        <v>0.14062203078482294</v>
      </c>
      <c r="BL29" s="5">
        <f>1-(BL20/BL19)</f>
        <v>0.14706026818606022</v>
      </c>
      <c r="BM29" s="5">
        <f>1-(BM20/BM19)</f>
        <v>0.17170149253731348</v>
      </c>
      <c r="BN29" s="5">
        <f>1-(BN20/BN19)</f>
        <v>0.18464421896206296</v>
      </c>
      <c r="BO29" s="5">
        <f>1-(BO20/BO19)</f>
        <v>0.15695291412576229</v>
      </c>
    </row>
    <row r="30" spans="2:67" x14ac:dyDescent="0.25">
      <c r="B30" t="s">
        <v>66</v>
      </c>
      <c r="BK30" s="5">
        <f>1-(BK24/BK23)</f>
        <v>0.47586206896551719</v>
      </c>
      <c r="BL30" s="5">
        <f>1-(BL24/BL23)</f>
        <v>0.47552447552447552</v>
      </c>
      <c r="BM30" s="5">
        <f>1-(BM24/BM23)</f>
        <v>0.486284289276808</v>
      </c>
      <c r="BN30" s="5">
        <f>1-(BN24/BN23)</f>
        <v>0.48556430446194221</v>
      </c>
      <c r="BO30" s="5">
        <f>1-(BO24/BO23)</f>
        <v>0.48626373626373631</v>
      </c>
    </row>
    <row r="31" spans="2:67" x14ac:dyDescent="0.25">
      <c r="BK31" s="1"/>
      <c r="BL31" s="1"/>
      <c r="BM31" s="1"/>
      <c r="BN31" s="1"/>
      <c r="BO31" s="1"/>
    </row>
    <row r="32" spans="2:67" x14ac:dyDescent="0.25">
      <c r="B32" t="s">
        <v>43</v>
      </c>
      <c r="BK32" s="1">
        <f>BK27+BK23+BK19</f>
        <v>16661</v>
      </c>
      <c r="BL32" s="1">
        <f>BL27+BL23+BL19</f>
        <v>21205</v>
      </c>
      <c r="BM32" s="1">
        <f>BM27+BM23+BM19</f>
        <v>17693</v>
      </c>
      <c r="BN32" s="1">
        <f>BN27+BN23+BN19</f>
        <v>16234</v>
      </c>
      <c r="BO32" s="1">
        <f>BO27+BO23+BO19</f>
        <v>20516</v>
      </c>
    </row>
    <row r="33" spans="2:67" x14ac:dyDescent="0.25">
      <c r="BK33" s="1"/>
      <c r="BL33" s="1"/>
      <c r="BM33" s="1"/>
      <c r="BN33" s="1"/>
      <c r="BO33" s="1"/>
    </row>
    <row r="34" spans="2:67" x14ac:dyDescent="0.25">
      <c r="BK34" s="1"/>
      <c r="BL34" s="1"/>
      <c r="BM34" s="1"/>
      <c r="BN34" s="1"/>
      <c r="BO34" s="1"/>
    </row>
    <row r="35" spans="2:67" x14ac:dyDescent="0.25">
      <c r="B35" t="s">
        <v>98</v>
      </c>
      <c r="BK35" s="12">
        <v>9.6</v>
      </c>
      <c r="BL35" s="12">
        <v>12.5</v>
      </c>
      <c r="BM35" s="12">
        <v>14.2</v>
      </c>
      <c r="BN35" s="12">
        <v>8.8000000000000007</v>
      </c>
      <c r="BO35" s="12">
        <v>13.5</v>
      </c>
    </row>
    <row r="37" spans="2:67" x14ac:dyDescent="0.25">
      <c r="B37" t="s">
        <v>44</v>
      </c>
      <c r="BK37" s="1">
        <v>2789</v>
      </c>
      <c r="BL37" s="1">
        <v>3415</v>
      </c>
      <c r="BM37" s="1">
        <v>3837</v>
      </c>
      <c r="BN37" s="1">
        <v>2408</v>
      </c>
      <c r="BO37" s="1">
        <v>3139</v>
      </c>
    </row>
    <row r="38" spans="2:67" x14ac:dyDescent="0.25">
      <c r="B38" t="s">
        <v>52</v>
      </c>
      <c r="BK38" s="1">
        <v>1943</v>
      </c>
      <c r="BL38" s="1">
        <v>2342</v>
      </c>
      <c r="BM38" s="1">
        <v>2739</v>
      </c>
      <c r="BN38" s="1">
        <v>1456</v>
      </c>
      <c r="BO38" s="1">
        <v>2499</v>
      </c>
    </row>
    <row r="39" spans="2:67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2:67" x14ac:dyDescent="0.25">
      <c r="B40" t="s">
        <v>48</v>
      </c>
      <c r="BK40" s="1">
        <v>3046</v>
      </c>
      <c r="BL40" s="1">
        <v>3475</v>
      </c>
      <c r="BM40" s="1">
        <v>3371</v>
      </c>
      <c r="BN40" s="1">
        <v>3745</v>
      </c>
      <c r="BO40" s="1">
        <v>4581</v>
      </c>
    </row>
    <row r="41" spans="2:67" x14ac:dyDescent="0.25">
      <c r="B41" t="s">
        <v>53</v>
      </c>
      <c r="BK41" s="1">
        <v>2880</v>
      </c>
      <c r="BL41" s="1">
        <v>3109</v>
      </c>
      <c r="BM41" s="1">
        <v>3073</v>
      </c>
      <c r="BN41" s="1">
        <v>3399</v>
      </c>
      <c r="BO41" s="1">
        <v>3933</v>
      </c>
    </row>
    <row r="42" spans="2:67" x14ac:dyDescent="0.25">
      <c r="BK42" s="5"/>
      <c r="BL42" s="5"/>
      <c r="BM42" s="5"/>
      <c r="BN42" s="5"/>
      <c r="BO42" s="5"/>
    </row>
    <row r="43" spans="2:67" x14ac:dyDescent="0.25">
      <c r="B43" t="s">
        <v>64</v>
      </c>
      <c r="BK43" s="5">
        <f>1-((BK24+BK20)/BK32)</f>
        <v>0.172018486285337</v>
      </c>
      <c r="BL43" s="5">
        <f>1-((BL24+BL20)/BL32)</f>
        <v>0.1704786606932327</v>
      </c>
      <c r="BM43" s="5">
        <f>1-((BM24+BM20)/BM32)</f>
        <v>0.20420505284575818</v>
      </c>
      <c r="BN43" s="5">
        <f>1-((BN24+BN20)/BN32)</f>
        <v>0.2107921645928299</v>
      </c>
      <c r="BO43" s="5">
        <f>1-((BO24+BO20)/BO32)</f>
        <v>0.16879508676155197</v>
      </c>
    </row>
    <row r="44" spans="2:67" x14ac:dyDescent="0.25">
      <c r="B44" t="s">
        <v>62</v>
      </c>
      <c r="BK44" s="5">
        <f>1-(BK38/BK37)</f>
        <v>0.30333452850484044</v>
      </c>
      <c r="BL44" s="5">
        <f>1-(BL38/BL37)</f>
        <v>0.31420204978038069</v>
      </c>
      <c r="BM44" s="5">
        <f>1-(BM38/BM37)</f>
        <v>0.28616106333072711</v>
      </c>
      <c r="BN44" s="5">
        <f>1-(BN38/BN37)</f>
        <v>0.39534883720930236</v>
      </c>
      <c r="BO44" s="5">
        <f>1-(BO38/BO37)</f>
        <v>0.20388658808537752</v>
      </c>
    </row>
    <row r="45" spans="2:67" x14ac:dyDescent="0.25">
      <c r="B45" t="s">
        <v>63</v>
      </c>
      <c r="BK45" s="5">
        <f>1-(BK41/BK40)</f>
        <v>5.4497701904136608E-2</v>
      </c>
      <c r="BL45" s="5">
        <f>1-(BL41/BL40)</f>
        <v>0.10532374100719422</v>
      </c>
      <c r="BM45" s="5">
        <f>1-(BM41/BM40)</f>
        <v>8.8401067932364241E-2</v>
      </c>
      <c r="BN45" s="5">
        <f>1-(BN41/BN40)</f>
        <v>9.2389853137516686E-2</v>
      </c>
      <c r="BO45" s="5">
        <f>1-(BO41/BO40)</f>
        <v>0.14145383104125742</v>
      </c>
    </row>
    <row r="47" spans="2:67" s="3" customFormat="1" x14ac:dyDescent="0.25">
      <c r="B47" s="3" t="s">
        <v>0</v>
      </c>
      <c r="BK47" s="6">
        <f>BK40+BK37+BK32</f>
        <v>22496</v>
      </c>
      <c r="BL47" s="3">
        <f>BL40+BL37+BL32</f>
        <v>28095</v>
      </c>
      <c r="BM47" s="3">
        <f>BM40+BM37+BM32</f>
        <v>24901</v>
      </c>
      <c r="BN47" s="3">
        <f>BN40+BN37+BN32</f>
        <v>22387</v>
      </c>
      <c r="BO47" s="3">
        <f>BO40+BO37+BO32</f>
        <v>28236</v>
      </c>
    </row>
    <row r="48" spans="2:67" x14ac:dyDescent="0.25">
      <c r="B48" t="s">
        <v>54</v>
      </c>
      <c r="BK48" s="1">
        <f>BK41+BK38+BK24+BK20</f>
        <v>18618</v>
      </c>
      <c r="BL48" s="1">
        <f>BL41+BL38+BL24+BL20</f>
        <v>23041</v>
      </c>
      <c r="BM48" s="1">
        <f>BM41+BM38+BM24+BM20</f>
        <v>19892</v>
      </c>
      <c r="BN48" s="1">
        <f>BN41+BN38+BN24+BN20</f>
        <v>17667</v>
      </c>
      <c r="BO48" s="1">
        <f>BO41+BO38+BO24+BO20</f>
        <v>23485</v>
      </c>
    </row>
    <row r="49" spans="2:67" x14ac:dyDescent="0.25">
      <c r="B49" t="s">
        <v>61</v>
      </c>
      <c r="BK49" s="1">
        <f>BK47-BK48</f>
        <v>3878</v>
      </c>
      <c r="BL49" s="1">
        <f t="shared" ref="BL49:BO49" si="0">BL47-BL48</f>
        <v>5054</v>
      </c>
      <c r="BM49" s="1">
        <f t="shared" si="0"/>
        <v>5009</v>
      </c>
      <c r="BN49" s="1">
        <f t="shared" si="0"/>
        <v>4720</v>
      </c>
      <c r="BO49" s="1">
        <f t="shared" si="0"/>
        <v>4751</v>
      </c>
    </row>
    <row r="50" spans="2:67" x14ac:dyDescent="0.25">
      <c r="B50" t="s">
        <v>55</v>
      </c>
      <c r="BK50" s="1">
        <v>1589</v>
      </c>
      <c r="BL50" s="1">
        <v>1630</v>
      </c>
      <c r="BM50" s="1">
        <v>1783</v>
      </c>
      <c r="BN50" s="1">
        <v>1946</v>
      </c>
      <c r="BO50" s="1">
        <v>2371</v>
      </c>
    </row>
    <row r="51" spans="2:67" x14ac:dyDescent="0.25">
      <c r="B51" t="s">
        <v>56</v>
      </c>
      <c r="BK51" s="1">
        <v>1366</v>
      </c>
      <c r="BL51" s="1">
        <v>1562</v>
      </c>
      <c r="BM51" s="1">
        <v>1655</v>
      </c>
      <c r="BN51" s="1">
        <v>1833</v>
      </c>
      <c r="BO51" s="1">
        <v>1982</v>
      </c>
    </row>
    <row r="52" spans="2:67" x14ac:dyDescent="0.25">
      <c r="B52" t="s">
        <v>57</v>
      </c>
      <c r="BK52">
        <v>0</v>
      </c>
      <c r="BL52">
        <v>238</v>
      </c>
      <c r="BM52">
        <v>162</v>
      </c>
      <c r="BN52">
        <v>0</v>
      </c>
      <c r="BO52">
        <v>0</v>
      </c>
    </row>
    <row r="53" spans="2:67" x14ac:dyDescent="0.25">
      <c r="B53" t="s">
        <v>58</v>
      </c>
      <c r="BK53" s="1">
        <f>SUM(BK50:BK52)</f>
        <v>2955</v>
      </c>
      <c r="BL53" s="1">
        <f t="shared" ref="BL53:BO53" si="1">SUM(BL50:BL52)</f>
        <v>3430</v>
      </c>
      <c r="BM53" s="1">
        <f t="shared" si="1"/>
        <v>3600</v>
      </c>
      <c r="BN53" s="1">
        <f t="shared" si="1"/>
        <v>3779</v>
      </c>
      <c r="BO53" s="1">
        <f t="shared" si="1"/>
        <v>4353</v>
      </c>
    </row>
    <row r="54" spans="2:67" x14ac:dyDescent="0.25">
      <c r="B54" t="s">
        <v>60</v>
      </c>
      <c r="BK54" s="1">
        <f>BK49-BK53</f>
        <v>923</v>
      </c>
      <c r="BL54" s="1">
        <f t="shared" ref="BL54:BO54" si="2">BL49-BL53</f>
        <v>1624</v>
      </c>
      <c r="BM54" s="1">
        <f t="shared" si="2"/>
        <v>1409</v>
      </c>
      <c r="BN54" s="1">
        <f t="shared" si="2"/>
        <v>941</v>
      </c>
      <c r="BO54" s="1">
        <f t="shared" si="2"/>
        <v>398</v>
      </c>
    </row>
    <row r="55" spans="2:67" x14ac:dyDescent="0.25">
      <c r="B55" t="s">
        <v>71</v>
      </c>
      <c r="BK55">
        <f>392-86</f>
        <v>306</v>
      </c>
      <c r="BL55">
        <f>439-76</f>
        <v>363</v>
      </c>
      <c r="BM55">
        <f>449-85</f>
        <v>364</v>
      </c>
      <c r="BN55">
        <f>434-92</f>
        <v>342</v>
      </c>
      <c r="BO55">
        <f>422-81</f>
        <v>341</v>
      </c>
    </row>
    <row r="56" spans="2:67" x14ac:dyDescent="0.25">
      <c r="B56" t="s">
        <v>72</v>
      </c>
      <c r="BK56">
        <f>320</f>
        <v>320</v>
      </c>
      <c r="BL56">
        <v>-28</v>
      </c>
      <c r="BM56">
        <v>-592</v>
      </c>
      <c r="BN56">
        <v>-535</v>
      </c>
      <c r="BO56">
        <v>590</v>
      </c>
    </row>
    <row r="57" spans="2:67" x14ac:dyDescent="0.25">
      <c r="B57" t="s">
        <v>68</v>
      </c>
      <c r="BK57">
        <v>359</v>
      </c>
      <c r="BL57">
        <v>570</v>
      </c>
      <c r="BM57">
        <v>325</v>
      </c>
      <c r="BN57">
        <v>257</v>
      </c>
      <c r="BO57">
        <v>201</v>
      </c>
    </row>
    <row r="58" spans="2:67" s="3" customFormat="1" x14ac:dyDescent="0.25">
      <c r="B58" s="3" t="s">
        <v>70</v>
      </c>
      <c r="BK58" s="6">
        <f>BK54+BK55+BK56-BK57</f>
        <v>1190</v>
      </c>
      <c r="BL58" s="6">
        <f t="shared" ref="BL58:BO58" si="3">BL54+BL55+BL56-BL57</f>
        <v>1389</v>
      </c>
      <c r="BM58" s="6">
        <f t="shared" si="3"/>
        <v>856</v>
      </c>
      <c r="BN58" s="6">
        <f t="shared" si="3"/>
        <v>491</v>
      </c>
      <c r="BO58" s="6">
        <f t="shared" si="3"/>
        <v>1128</v>
      </c>
    </row>
    <row r="59" spans="2:67" s="3" customFormat="1" x14ac:dyDescent="0.25"/>
    <row r="60" spans="2:67" s="7" customFormat="1" x14ac:dyDescent="0.25">
      <c r="B60" s="7" t="s">
        <v>69</v>
      </c>
      <c r="BK60" s="8">
        <f>BK57/SUM(BK54:BK56)</f>
        <v>0.23176242737249839</v>
      </c>
      <c r="BL60" s="8">
        <f t="shared" ref="BL60:BO60" si="4">BL57/SUM(BL54:BL56)</f>
        <v>0.29096477794793263</v>
      </c>
      <c r="BM60" s="8">
        <f t="shared" si="4"/>
        <v>0.275190516511431</v>
      </c>
      <c r="BN60" s="8">
        <f t="shared" si="4"/>
        <v>0.34358288770053474</v>
      </c>
      <c r="BO60" s="8">
        <f t="shared" si="4"/>
        <v>0.15124153498871332</v>
      </c>
    </row>
    <row r="62" spans="2:67" x14ac:dyDescent="0.25">
      <c r="B62" t="s">
        <v>50</v>
      </c>
      <c r="BK62" s="5">
        <f>1-(BK48/BK47)</f>
        <v>0.17238620199146515</v>
      </c>
      <c r="BL62" s="5">
        <f>1-(BL48/BL47)</f>
        <v>0.17988966008186513</v>
      </c>
      <c r="BM62" s="5">
        <f>1-(BM48/BM47)</f>
        <v>0.20115658005702586</v>
      </c>
      <c r="BN62" s="5">
        <f>1-(BN48/BN47)</f>
        <v>0.21083664626792331</v>
      </c>
      <c r="BO62" s="5">
        <f>1-(BO48/BO47)</f>
        <v>0.16826037682391271</v>
      </c>
    </row>
    <row r="63" spans="2:67" x14ac:dyDescent="0.25">
      <c r="B63" t="s">
        <v>59</v>
      </c>
      <c r="BK63" s="4">
        <f>BK54/BK47</f>
        <v>4.1029516358463726E-2</v>
      </c>
      <c r="BL63" s="4">
        <f t="shared" ref="BL63:BO63" si="5">BL54/BL47</f>
        <v>5.7803879693895714E-2</v>
      </c>
      <c r="BM63" s="4">
        <f t="shared" si="5"/>
        <v>5.6584072928798038E-2</v>
      </c>
      <c r="BN63" s="4">
        <f t="shared" si="5"/>
        <v>4.2033322910617767E-2</v>
      </c>
      <c r="BO63" s="4">
        <f t="shared" si="5"/>
        <v>1.4095480946309675E-2</v>
      </c>
    </row>
    <row r="68" spans="2:73" x14ac:dyDescent="0.25">
      <c r="B68" t="s">
        <v>73</v>
      </c>
      <c r="BK68" s="1">
        <v>36782</v>
      </c>
      <c r="BL68" s="1">
        <v>41647</v>
      </c>
      <c r="BM68" s="1">
        <v>44059</v>
      </c>
      <c r="BN68" s="1">
        <v>44743</v>
      </c>
      <c r="BO68" s="1">
        <f>15219+28305</f>
        <v>43524</v>
      </c>
      <c r="BP68" s="1"/>
      <c r="BQ68" s="1"/>
      <c r="BR68" s="1"/>
      <c r="BS68" s="1"/>
      <c r="BT68" s="1"/>
      <c r="BU68" s="1"/>
    </row>
    <row r="69" spans="2:73" x14ac:dyDescent="0.25">
      <c r="B69" t="s">
        <v>74</v>
      </c>
      <c r="BK69" s="1">
        <v>3838</v>
      </c>
      <c r="BL69" s="1">
        <v>4703</v>
      </c>
      <c r="BM69" s="1">
        <v>4576</v>
      </c>
      <c r="BN69" s="1">
        <v>3959</v>
      </c>
      <c r="BO69" s="1">
        <v>4087</v>
      </c>
      <c r="BP69" s="1"/>
      <c r="BQ69" s="1"/>
      <c r="BR69" s="1"/>
      <c r="BS69" s="1"/>
      <c r="BT69" s="1"/>
      <c r="BU69" s="1"/>
    </row>
    <row r="70" spans="2:73" x14ac:dyDescent="0.25">
      <c r="B70" t="s">
        <v>75</v>
      </c>
      <c r="BK70" s="1">
        <v>14570</v>
      </c>
      <c r="BL70" s="1">
        <v>12276</v>
      </c>
      <c r="BM70" s="1">
        <v>12392</v>
      </c>
      <c r="BN70" s="1">
        <v>14434</v>
      </c>
      <c r="BO70" s="1">
        <v>13752</v>
      </c>
      <c r="BP70" s="1"/>
      <c r="BQ70" s="1"/>
      <c r="BR70" s="1"/>
      <c r="BS70" s="1"/>
      <c r="BT70" s="1"/>
      <c r="BU70" s="1"/>
    </row>
    <row r="71" spans="2:73" x14ac:dyDescent="0.25">
      <c r="B71" t="s">
        <v>76</v>
      </c>
      <c r="BK71" s="1">
        <v>5943</v>
      </c>
      <c r="BL71" s="1">
        <v>6027</v>
      </c>
      <c r="BM71" s="1">
        <v>7615</v>
      </c>
      <c r="BN71" s="1">
        <v>6612</v>
      </c>
      <c r="BO71" s="1">
        <v>7395</v>
      </c>
      <c r="BP71" s="1"/>
      <c r="BQ71" s="1"/>
      <c r="BR71" s="1"/>
      <c r="BS71" s="1"/>
      <c r="BT71" s="1"/>
      <c r="BU71" s="1"/>
    </row>
    <row r="72" spans="2:73" x14ac:dyDescent="0.25">
      <c r="B72" t="s">
        <v>77</v>
      </c>
      <c r="BK72" s="1">
        <v>5230</v>
      </c>
      <c r="BL72" s="1">
        <v>5019</v>
      </c>
      <c r="BM72" s="1">
        <v>4912</v>
      </c>
      <c r="BN72" s="1"/>
      <c r="BO72" s="1">
        <v>4253</v>
      </c>
      <c r="BP72" s="1"/>
      <c r="BQ72" s="1"/>
      <c r="BR72" s="1"/>
      <c r="BS72" s="1"/>
      <c r="BT72" s="1"/>
      <c r="BU72" s="1"/>
    </row>
    <row r="73" spans="2:73" x14ac:dyDescent="0.25">
      <c r="B73" t="s">
        <v>78</v>
      </c>
      <c r="BK73" s="1">
        <v>4788</v>
      </c>
      <c r="BL73" s="1">
        <v>4673</v>
      </c>
      <c r="BM73" s="1">
        <v>4604</v>
      </c>
      <c r="BN73" s="1"/>
      <c r="BO73" s="1">
        <v>4510</v>
      </c>
      <c r="BP73" s="1"/>
      <c r="BQ73" s="1"/>
      <c r="BR73" s="1"/>
      <c r="BS73" s="1"/>
      <c r="BT73" s="1"/>
      <c r="BU73" s="1"/>
    </row>
    <row r="74" spans="2:73" x14ac:dyDescent="0.25">
      <c r="B74" t="s">
        <v>79</v>
      </c>
      <c r="BK74" s="1">
        <v>38574</v>
      </c>
      <c r="BL74" s="1">
        <v>39407</v>
      </c>
      <c r="BM74" s="1">
        <v>40643</v>
      </c>
      <c r="BN74" s="1"/>
      <c r="BO74" s="1">
        <v>47255</v>
      </c>
      <c r="BP74" s="1"/>
      <c r="BQ74" s="1"/>
      <c r="BR74" s="1"/>
      <c r="BS74" s="1"/>
      <c r="BT74" s="1"/>
      <c r="BU74" s="1"/>
    </row>
    <row r="75" spans="2:73" x14ac:dyDescent="0.25">
      <c r="B75" t="s">
        <v>80</v>
      </c>
      <c r="BK75" s="1">
        <v>5633</v>
      </c>
      <c r="BL75" s="1">
        <v>5783</v>
      </c>
      <c r="BM75" s="1">
        <v>6027</v>
      </c>
      <c r="BN75" s="1"/>
      <c r="BO75" s="1">
        <v>6386</v>
      </c>
      <c r="BP75" s="1"/>
      <c r="BQ75" s="1"/>
      <c r="BR75" s="1"/>
      <c r="BS75" s="1"/>
      <c r="BT75" s="1"/>
      <c r="BU75" s="1"/>
    </row>
    <row r="76" spans="2:73" x14ac:dyDescent="0.25">
      <c r="B76" t="s">
        <v>81</v>
      </c>
      <c r="BK76" s="1">
        <v>1235</v>
      </c>
      <c r="BL76" s="1">
        <v>1315</v>
      </c>
      <c r="BM76" s="1">
        <v>1008</v>
      </c>
      <c r="BN76" s="1"/>
      <c r="BO76" s="1">
        <v>674</v>
      </c>
      <c r="BP76" s="1"/>
      <c r="BQ76" s="1"/>
      <c r="BR76" s="1"/>
      <c r="BS76" s="1"/>
      <c r="BT76" s="1"/>
      <c r="BU76" s="1"/>
    </row>
    <row r="77" spans="2:73" x14ac:dyDescent="0.25">
      <c r="B77" t="s">
        <v>82</v>
      </c>
      <c r="BK77" s="1">
        <v>6721</v>
      </c>
      <c r="BL77" s="1">
        <v>6637</v>
      </c>
      <c r="BM77" s="1">
        <v>6925</v>
      </c>
      <c r="BN77" s="1"/>
      <c r="BO77" s="1">
        <v>7235</v>
      </c>
      <c r="BP77" s="1"/>
      <c r="BQ77" s="1"/>
      <c r="BR77" s="1"/>
      <c r="BS77" s="1"/>
      <c r="BT77" s="1"/>
      <c r="BU77" s="1"/>
    </row>
    <row r="78" spans="2:73" x14ac:dyDescent="0.25">
      <c r="B78" t="s">
        <v>67</v>
      </c>
      <c r="BK78" s="1">
        <v>5253</v>
      </c>
      <c r="BL78" s="1">
        <v>6248</v>
      </c>
      <c r="BM78" s="1">
        <v>5045</v>
      </c>
      <c r="BN78" s="1"/>
      <c r="BO78" s="1">
        <v>9453</v>
      </c>
      <c r="BP78" s="1"/>
      <c r="BQ78" s="1"/>
      <c r="BR78" s="1"/>
      <c r="BS78" s="1"/>
      <c r="BT78" s="1"/>
      <c r="BU78" s="1"/>
    </row>
    <row r="79" spans="2:73" x14ac:dyDescent="0.25">
      <c r="B79" t="s">
        <v>83</v>
      </c>
      <c r="BK79" s="1">
        <f>SUM(BK68:BK78)</f>
        <v>128567</v>
      </c>
      <c r="BL79" s="1">
        <f>SUM(BL68:BL78)</f>
        <v>133735</v>
      </c>
      <c r="BM79" s="1">
        <f t="shared" ref="BM79:BO79" si="6">SUM(BM68:BM78)</f>
        <v>137806</v>
      </c>
      <c r="BN79" s="1">
        <f t="shared" si="6"/>
        <v>69748</v>
      </c>
      <c r="BO79" s="1">
        <f t="shared" si="6"/>
        <v>148524</v>
      </c>
      <c r="BP79" s="1"/>
      <c r="BQ79" s="1"/>
      <c r="BR79" s="1"/>
      <c r="BS79" s="1"/>
      <c r="BT79" s="1"/>
      <c r="BU79" s="1"/>
    </row>
    <row r="80" spans="2:73" x14ac:dyDescent="0.25"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spans="2:73" x14ac:dyDescent="0.25">
      <c r="B81" t="s">
        <v>84</v>
      </c>
      <c r="BK81" s="1">
        <v>13212</v>
      </c>
      <c r="BL81" s="1">
        <v>12819</v>
      </c>
      <c r="BM81" s="1">
        <v>13371</v>
      </c>
      <c r="BN81" s="1"/>
      <c r="BO81" s="1">
        <v>15324</v>
      </c>
      <c r="BP81" s="1"/>
      <c r="BQ81" s="1"/>
      <c r="BR81" s="1"/>
      <c r="BS81" s="1"/>
      <c r="BT81" s="1"/>
      <c r="BU81" s="1"/>
    </row>
    <row r="82" spans="2:73" x14ac:dyDescent="0.25">
      <c r="B82" t="s">
        <v>85</v>
      </c>
      <c r="BK82" s="1">
        <v>11519</v>
      </c>
      <c r="BL82" s="1">
        <v>12791</v>
      </c>
      <c r="BM82" s="1">
        <v>13279</v>
      </c>
      <c r="BN82" s="1"/>
      <c r="BO82" s="1">
        <v>15256</v>
      </c>
      <c r="BP82" s="1"/>
      <c r="BQ82" s="1"/>
      <c r="BR82" s="1"/>
      <c r="BS82" s="1"/>
      <c r="BT82" s="1"/>
      <c r="BU82" s="1"/>
    </row>
    <row r="83" spans="2:73" x14ac:dyDescent="0.25">
      <c r="B83" t="s">
        <v>88</v>
      </c>
      <c r="BK83" s="1">
        <v>3237</v>
      </c>
      <c r="BL83" s="1">
        <v>3756</v>
      </c>
      <c r="BM83" s="1">
        <v>3424</v>
      </c>
      <c r="BN83" s="1"/>
      <c r="BO83" s="1">
        <v>3427</v>
      </c>
      <c r="BP83" s="1"/>
      <c r="BQ83" s="1"/>
      <c r="BR83" s="1"/>
      <c r="BS83" s="1"/>
      <c r="BT83" s="1"/>
      <c r="BU83" s="1"/>
    </row>
    <row r="84" spans="2:73" x14ac:dyDescent="0.25">
      <c r="B84" t="s">
        <v>86</v>
      </c>
      <c r="BK84" s="1">
        <v>2040</v>
      </c>
      <c r="BL84" s="1">
        <v>1924</v>
      </c>
      <c r="BM84" s="1">
        <v>1640</v>
      </c>
      <c r="BN84" s="1"/>
      <c r="BO84" s="1">
        <v>1418</v>
      </c>
      <c r="BP84" s="1"/>
      <c r="BQ84" s="1"/>
      <c r="BR84" s="1"/>
      <c r="BS84" s="1"/>
      <c r="BT84" s="1"/>
      <c r="BU84" s="1"/>
    </row>
    <row r="85" spans="2:73" x14ac:dyDescent="0.25">
      <c r="B85" t="s">
        <v>87</v>
      </c>
      <c r="BK85" s="1">
        <v>5180</v>
      </c>
      <c r="BL85" s="1">
        <v>5778</v>
      </c>
      <c r="BM85" s="1">
        <v>6736</v>
      </c>
      <c r="BN85" s="1"/>
      <c r="BO85" s="1">
        <v>7924</v>
      </c>
      <c r="BP85" s="1"/>
      <c r="BQ85" s="1"/>
      <c r="BR85" s="1"/>
      <c r="BS85" s="1"/>
      <c r="BT85" s="1"/>
      <c r="BU85" s="1"/>
    </row>
    <row r="86" spans="2:73" x14ac:dyDescent="0.25">
      <c r="B86" t="s">
        <v>89</v>
      </c>
      <c r="BK86" s="1">
        <v>3764</v>
      </c>
      <c r="BL86" s="1">
        <v>3746</v>
      </c>
      <c r="BM86" s="1">
        <v>3631</v>
      </c>
      <c r="BN86" s="1"/>
      <c r="BO86" s="1">
        <v>4073</v>
      </c>
      <c r="BP86" s="1"/>
      <c r="BQ86" s="1"/>
      <c r="BR86" s="1"/>
      <c r="BS86" s="1"/>
      <c r="BT86" s="1"/>
      <c r="BU86" s="1"/>
    </row>
    <row r="87" spans="2:73" x14ac:dyDescent="0.25">
      <c r="B87" t="s">
        <v>90</v>
      </c>
      <c r="BK87" s="1">
        <v>11543</v>
      </c>
      <c r="BL87" s="1">
        <v>12205</v>
      </c>
      <c r="BM87" s="1">
        <v>12860</v>
      </c>
      <c r="BN87" s="1"/>
      <c r="BO87" s="1">
        <v>13583</v>
      </c>
      <c r="BP87" s="1"/>
      <c r="BQ87" s="1"/>
      <c r="BR87" s="1"/>
      <c r="BS87" s="1"/>
      <c r="BT87" s="1"/>
      <c r="BU87" s="1"/>
    </row>
    <row r="88" spans="2:73" x14ac:dyDescent="0.25">
      <c r="B88" t="s">
        <v>91</v>
      </c>
      <c r="BK88" s="1">
        <f>SUM(BK81:BK87)</f>
        <v>50495</v>
      </c>
      <c r="BL88" s="1">
        <f t="shared" ref="BL88:BO88" si="7">SUM(BL81:BL87)</f>
        <v>53019</v>
      </c>
      <c r="BM88" s="1">
        <f t="shared" si="7"/>
        <v>54941</v>
      </c>
      <c r="BN88" s="1">
        <f t="shared" si="7"/>
        <v>0</v>
      </c>
      <c r="BO88" s="1">
        <f t="shared" si="7"/>
        <v>61005</v>
      </c>
      <c r="BP88" s="1"/>
      <c r="BQ88" s="1"/>
      <c r="BR88" s="1"/>
      <c r="BS88" s="1"/>
      <c r="BT88" s="1"/>
      <c r="BU88" s="1"/>
    </row>
    <row r="89" spans="2:73" x14ac:dyDescent="0.25"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spans="2:73" x14ac:dyDescent="0.25">
      <c r="B90" t="s">
        <v>126</v>
      </c>
      <c r="BK90" s="1"/>
      <c r="BL90" s="1"/>
      <c r="BM90" s="1">
        <v>58</v>
      </c>
      <c r="BN90" s="1"/>
      <c r="BO90" s="1">
        <v>54</v>
      </c>
      <c r="BP90" s="1"/>
      <c r="BQ90" s="1"/>
      <c r="BR90" s="1"/>
      <c r="BS90" s="1"/>
      <c r="BT90" s="1"/>
      <c r="BU90" s="1"/>
    </row>
    <row r="91" spans="2:73" s="1" customFormat="1" x14ac:dyDescent="0.25"/>
    <row r="92" spans="2:73" x14ac:dyDescent="0.25">
      <c r="B92" t="s">
        <v>92</v>
      </c>
      <c r="BK92" s="1">
        <f>BK79-BK88-BK90-BK94</f>
        <v>78072</v>
      </c>
      <c r="BL92" s="1">
        <f>BL79-BL88-BL90-BL94</f>
        <v>80716</v>
      </c>
      <c r="BM92" s="1">
        <f>BM79-BM88-BM90-BM94</f>
        <v>82137</v>
      </c>
      <c r="BN92" s="1">
        <f>BN79-BN88-BN90-BN94</f>
        <v>69748</v>
      </c>
      <c r="BO92" s="1">
        <f>BO79-BO88-BO90-BO94</f>
        <v>86858</v>
      </c>
      <c r="BP92" s="1"/>
      <c r="BQ92" s="1"/>
      <c r="BR92" s="1"/>
      <c r="BS92" s="1"/>
      <c r="BT92" s="1"/>
      <c r="BU92" s="1"/>
    </row>
    <row r="93" spans="2:73" x14ac:dyDescent="0.25">
      <c r="B93" t="s">
        <v>124</v>
      </c>
      <c r="BM93">
        <v>3751</v>
      </c>
      <c r="BN93">
        <v>3755</v>
      </c>
      <c r="BO93">
        <v>3949</v>
      </c>
    </row>
    <row r="94" spans="2:73" x14ac:dyDescent="0.25">
      <c r="B94" t="s">
        <v>125</v>
      </c>
      <c r="BM94">
        <v>670</v>
      </c>
      <c r="BO94">
        <v>607</v>
      </c>
    </row>
    <row r="96" spans="2:73" x14ac:dyDescent="0.25">
      <c r="BM96" s="1"/>
    </row>
  </sheetData>
  <hyperlinks>
    <hyperlink ref="C2" r:id="rId1" display="https://www.sec.gov/Archives/edgar/data/1318605/000119312510177203/dex991.htm" xr:uid="{775B1F7A-0503-4B4B-99C0-29D739E4ADAE}"/>
    <hyperlink ref="D2" r:id="rId2" display="https://www.sec.gov/Archives/edgar/data/1318605/000119312510254219/dex991.htm" xr:uid="{A7E7F177-CF75-4045-9CF8-DED0DCCCCC0C}"/>
    <hyperlink ref="E2" r:id="rId3" display="https://www.sec.gov/Archives/edgar/data/1318605/000119312511036784/dex991.htm" xr:uid="{283EEE64-CF7D-4B50-85DB-CE3242A67FDB}"/>
    <hyperlink ref="F2" r:id="rId4" display="https://www.sec.gov/Archives/edgar/data/1318605/000119312511126139/dex991.htm" xr:uid="{1DAEF69F-E2EC-4BA5-BCB1-5DCB1791AFC0}"/>
    <hyperlink ref="G2" r:id="rId5" display="https://www.sec.gov/Archives/edgar/data/1318605/000119312511208287/dex991.htm" xr:uid="{9DEBB3B2-7C36-4FD8-9D49-B207B37C4C99}"/>
    <hyperlink ref="H2" r:id="rId6" display="https://www.sec.gov/Archives/edgar/data/1318605/000119312511292996/d249698dex991.htm" xr:uid="{331ABD76-9AF2-491B-B35D-8D7D88C87DD4}"/>
    <hyperlink ref="I2" r:id="rId7" display="https://www.sec.gov/Archives/edgar/data/1318605/000119312512063402/d299083dex991.htm" xr:uid="{845A975C-997A-4BDB-AF7E-B72FDA1C0E09}"/>
    <hyperlink ref="J2" r:id="rId8" display="https://www.sec.gov/Archives/edgar/data/1318605/000119312512221988/d344520dex991.htm" xr:uid="{6679DEC0-F8C8-4CF3-B07C-8AEA91B55F70}"/>
    <hyperlink ref="K2" r:id="rId9" display="https://www.sec.gov/Archives/edgar/data/1318605/000119312512314408/d380890dex991.htm" xr:uid="{B8508479-317D-498D-B48C-6F5109FAFB4F}"/>
    <hyperlink ref="L2" r:id="rId10" display="https://www.sec.gov/Archives/edgar/data/1318605/000119312512450383/d432726dex991.htm" xr:uid="{E7632EB3-A1F5-4495-94EC-41894AA6613B}"/>
    <hyperlink ref="M2" r:id="rId11" display="https://www.sec.gov/Archives/edgar/data/1318605/000119312513067177/d462441dex991.htm" xr:uid="{C41A7FD1-0259-412F-B7E4-B716A922C39B}"/>
    <hyperlink ref="N2" r:id="rId12" display="https://www.sec.gov/Archives/edgar/data/1318605/000119312513207910/d532640dex991.htm" xr:uid="{3A25E4C6-C43F-447D-913D-F540F4886AEE}"/>
    <hyperlink ref="O2" r:id="rId13" display="https://www.sec.gov/Archives/edgar/data/1318605/000119312513324129/d578387dex991.htm" xr:uid="{64B3B4D7-E824-4CD2-B391-1036E0A0792B}"/>
    <hyperlink ref="P2" r:id="rId14" display="https://www.sec.gov/Archives/edgar/data/1318605/000119312513427630/d622890dex991.htm" xr:uid="{C3499236-627B-40C1-A52D-24F27D0DEB37}"/>
    <hyperlink ref="Q2" r:id="rId15" display="https://www.sec.gov/Archives/edgar/data/1318605/000119312514058778/d676319dex991.htm" xr:uid="{A14D58A5-5103-4247-8CCE-4DE57936D148}"/>
    <hyperlink ref="R2" r:id="rId16" display="https://www.sec.gov/Archives/edgar/data/1318605/000119312514187459/d722173dex991.htm" xr:uid="{7CD6B214-5EFA-484A-9F3D-400ADFFA1B5A}"/>
    <hyperlink ref="S2" r:id="rId17" display="https://www.sec.gov/Archives/edgar/data/1318605/000119312514289598/d764668dex991.htm" xr:uid="{28E9A335-887D-4D8A-8B89-615EAB3D46F2}"/>
    <hyperlink ref="T2" r:id="rId18" display="https://www.sec.gov/Archives/edgar/data/1318605/000119312514398650/d815233dex991.htm" xr:uid="{42A24453-3A74-4A98-8B73-5BA392295283}"/>
    <hyperlink ref="U2" r:id="rId19" display="https://www.sec.gov/Archives/edgar/data/1318605/000119312515044423/d853966dex991.htm" xr:uid="{C3660CFE-9616-4F3D-A802-F63942CCEA08}"/>
    <hyperlink ref="V2" r:id="rId20" display="https://www.sec.gov/Archives/edgar/data/1318605/000119312515174639/d920831dex991.htm" xr:uid="{D6C2CD13-89DC-42EA-BFE2-AFA62848DB7A}"/>
    <hyperlink ref="W2" r:id="rId21" display="https://www.sec.gov/Archives/edgar/data/1318605/000119312515278803/d91160dex991.htm" xr:uid="{35C41C7F-31D1-4FB2-96C8-3DA32EAEFE30}"/>
    <hyperlink ref="X2" r:id="rId22" display="https://www.sec.gov/Archives/edgar/data/1318605/000119312515364285/d50904dex991.htm" xr:uid="{C4E22167-4E5D-4B45-BF26-686411883CFE}"/>
    <hyperlink ref="Y2" r:id="rId23" display="https://www.sec.gov/Archives/edgar/data/1318605/000119312516418701/d106308dex991.htm" xr:uid="{2CDEE11B-7F07-4AA3-B8EB-AD7AB7DA80A2}"/>
    <hyperlink ref="Z2" r:id="rId24" display="https://www.sec.gov/Archives/edgar/data/1318605/000119312516577582/d158845dex991.htm" xr:uid="{F4692AFC-8290-49EC-894B-198AA1605769}"/>
    <hyperlink ref="AA2" r:id="rId25" display="https://www.sec.gov/Archives/edgar/data/1318605/000119312516670068/d234162dex991.htm" xr:uid="{7CB07A62-B0C0-4496-84F3-397CED1018F5}"/>
    <hyperlink ref="AB2" r:id="rId26" display="https://www.sec.gov/Archives/edgar/data/1318605/000119312516747973/d273228dex991.htm" xr:uid="{540551A8-290C-49F2-959E-072DE5AD94B2}"/>
    <hyperlink ref="AC2" r:id="rId27" display="https://www.sec.gov/Archives/edgar/data/1318605/000119312517052093/d322970dex991.htm" xr:uid="{0DFA0628-3327-46CA-A2DA-FDD61BD6DF6F}"/>
    <hyperlink ref="AD2" r:id="rId28" display="https://www.sec.gov/Archives/edgar/data/1318605/000156459017005875/tsla-ex991_6.htm" xr:uid="{A4ED9A6D-EEA8-49C5-8FE2-BFFECE0E46B7}"/>
    <hyperlink ref="AE2" r:id="rId29" display="https://www.sec.gov/Archives/edgar/data/1318605/000156459017014920/tsla-ex991_90.htm" xr:uid="{1BB49736-CCE6-4A29-9A9D-9C35786A8F60}"/>
    <hyperlink ref="AF2" r:id="rId30" display="https://www.sec.gov/Archives/edgar/data/1318605/000156459017019158/tsla-ex991_6.htm" xr:uid="{4FCDC108-15D7-4A93-BE69-329907537AD9}"/>
    <hyperlink ref="AG2" r:id="rId31" display="https://www.sec.gov/Archives/edgar/data/1318605/000156459018001521/tsla-ex991_8.htm" xr:uid="{77777E9F-7D61-4D08-A774-03FE706CB263}"/>
    <hyperlink ref="AH2" r:id="rId32" display="https://www.sec.gov/Archives/edgar/data/1318605/000156459018010306/tsla-ex991_7.htm" xr:uid="{93EA06A4-26A5-4CFE-84F1-5BE3DD648C64}"/>
    <hyperlink ref="AI2" r:id="rId33" display="https://www.sec.gov/Archives/edgar/data/1318605/000156459018016465/tsla-ex991_6.htm" xr:uid="{BBD63EEF-C4CB-4338-868A-E0B696062AB7}"/>
    <hyperlink ref="AJ2" r:id="rId34" display="https://www.sec.gov/Archives/edgar/data/1318605/000156459018023815/tsla-ex991_6.htm" xr:uid="{1BCFB5C0-5DFB-40D9-AA4A-28971C3A2B7B}"/>
    <hyperlink ref="AK2" r:id="rId35" display="https://www.sec.gov/Archives/edgar/data/1318605/000156459019010743/tsla-ex991_6.htm" xr:uid="{5F85029C-8A80-460F-9F56-219C1C9D35E8}"/>
    <hyperlink ref="AL2" r:id="rId36" display="https://www.sec.gov/Archives/edgar/data/1318605/000156459019018876/tsla-ex991_15.htm" xr:uid="{3CE0C43D-E032-4376-8041-0F41EB7A5FA7}"/>
    <hyperlink ref="AM2" r:id="rId37" display="https://www.sec.gov/Archives/edgar/data/1318605/000156459019024414/tsla-ex991_14.htm" xr:uid="{41A57BA2-3D0A-40BE-BF2C-51F448088F11}"/>
    <hyperlink ref="AN2" r:id="rId38" display="https://www.sec.gov/Archives/edgar/data/1318605/000156459019037581/tsla-ex991_154.htm" xr:uid="{5810613F-8C6B-4550-8A77-7C66449444E6}"/>
    <hyperlink ref="AO2" r:id="rId39" display="https://www.sec.gov/Archives/edgar/data/1318605/000156459020011823/tsla-ex991_6.htm" xr:uid="{968D995E-77FF-4A89-9DCC-117ABB04645E}"/>
    <hyperlink ref="AP2" r:id="rId40" display="https://www.sec.gov/Archives/edgar/data/1318605/000156459020019776/tsla-ex9901_96.htm" xr:uid="{43DC971D-BB0D-4D36-8D14-218C21EA4AB3}"/>
    <hyperlink ref="AQ2" r:id="rId41" display="https://www.sec.gov/Archives/edgar/data/1318605/000156459020039353/tsla-ex991_6.htm" xr:uid="{E1CE408B-188A-476B-814A-B78D7C801B85}"/>
    <hyperlink ref="AR2" r:id="rId42" display="https://www.sec.gov/Archives/edgar/data/1318605/000156459020047108/tsla-ex991_57.htm" xr:uid="{81DB72A0-F3CD-4F2B-BFF0-5DE472A89C47}"/>
    <hyperlink ref="AS2" r:id="rId43" display="https://www.sec.gov/Archives/edgar/data/1318605/000156459021002645/tsla-ex991_99.htm" xr:uid="{90CE3250-A485-4E04-93EF-88C504B52B3C}"/>
    <hyperlink ref="AT2" r:id="rId44" display="https://www.sec.gov/Archives/edgar/data/1318605/000156459021020558/tsla-ex99_136.htm" xr:uid="{826CEE11-778E-40B2-A66B-CF258933D22D}"/>
    <hyperlink ref="AU2" r:id="rId45" display="https://www.sec.gov/Archives/edgar/data/1318605/000156459021037953/tsla-ex991_89.htm" xr:uid="{4B76C893-24CF-4A61-B383-1F61F3388043}"/>
    <hyperlink ref="AV2" r:id="rId46" display="https://www.sec.gov/Archives/edgar/data/1318605/000156459021051307/tsla-ex991_85.htm" xr:uid="{E25150C3-CCF1-46D0-A793-452760068057}"/>
    <hyperlink ref="AW2" r:id="rId47" display="https://www.sec.gov/Archives/edgar/data/1318605/000156459022002476/tsla-ex991_209.htm" xr:uid="{C546B72D-BC49-41F4-85CB-9C217C76A368}"/>
    <hyperlink ref="AX2" r:id="rId48" display="https://www.sec.gov/Archives/edgar/data/1318605/000156459022014917/tsla-ex991_151.htm" xr:uid="{0519E93E-E19B-49DC-8371-A65E7AC2D3BC}"/>
    <hyperlink ref="AY2" r:id="rId49" display="https://www.sec.gov/Archives/edgar/data/1318605/000156459022028207/tsla-ex991_6.htm" xr:uid="{0FD0CEEF-5A15-4BBD-9919-746900A358B2}"/>
    <hyperlink ref="AZ2" r:id="rId50" display="https://www.sec.gov/Archives/edgar/data/1318605/000156459022034639/tsla-ex991_89.htm" xr:uid="{330AB0CD-A970-4477-BE28-B11C6DBC7106}"/>
    <hyperlink ref="BA2" r:id="rId51" display="https://www.sec.gov/Archives/edgar/data/1318605/000156459023000799/tsla-ex991_127.htm" xr:uid="{2A9C5848-F41F-487A-B74D-D843C3DAC152}"/>
    <hyperlink ref="BB2" r:id="rId52" display="https://www.sec.gov/Archives/edgar/data/1318605/000156459023005959/tsla-ex991_99.htm" xr:uid="{3571D6EB-865E-4866-80FF-D95CFE46AF16}"/>
    <hyperlink ref="BC2" r:id="rId53" display="https://www.sec.gov/Archives/edgar/data/1318605/000095017023033544/tsla-ex99_1.htm" xr:uid="{5080C843-D799-4928-A74F-BF7E42FCDE6C}"/>
    <hyperlink ref="BD2" r:id="rId54" display="https://www.sec.gov/Archives/edgar/data/1318605/000162828023034588/exhibit991.htm" xr:uid="{E59CEE97-8136-4614-A22D-DBA38C3A3F6E}"/>
    <hyperlink ref="BE2" r:id="rId55" display="https://www.sec.gov/Archives/edgar/data/1318605/000162828024002390/tsla-20231231.htm" xr:uid="{87E6EC53-9F09-490C-A754-C161EF2ACB6D}"/>
    <hyperlink ref="BF2" r:id="rId56" display="https://www.sec.gov/Archives/edgar/data/1318605/000095017024046895/tsla-ex99_1.htm" xr:uid="{57D07A10-A40A-4F0A-9D0B-BE8D93CD4B32}"/>
    <hyperlink ref="BG2" r:id="rId57" display="https://www.sec.gov/Archives/edgar/data/1318605/000162828024032603/exhibit.htm" xr:uid="{C0727593-BE88-4604-8311-E83001C05504}"/>
    <hyperlink ref="BH2" r:id="rId58" display="https://www.sec.gov/Archives/edgar/data/1318605/000162828025002993/exhibit991.htm" xr:uid="{7754A227-8160-45ED-B48C-73A39A12C420}"/>
    <hyperlink ref="BI2" r:id="rId59" display="https://www.sec.gov/Archives/edgar/data/1318605/000162828025002993/exhibit991.htm" xr:uid="{E4840CA7-4D18-4919-B4EA-25A75D987461}"/>
    <hyperlink ref="BJ2" r:id="rId60" display="https://www.sec.gov/Archives/edgar/data/1318605/000162828025018851/exhbit991.htm" xr:uid="{04A40E29-FEE6-4C7B-8CCD-960D66250142}"/>
    <hyperlink ref="BK2" r:id="rId61" display="https://www.sec.gov/Archives/edgar/data/1318605/000162828025035738/exhibit991.htm" xr:uid="{5A246B5A-6F26-4D4E-BC96-89888453775F}"/>
    <hyperlink ref="BL2" r:id="rId62" display="https://www.sec.gov/Archives/edgar/data/1318605/000162828025045861/exhibit991.htm" xr:uid="{79B6E4DD-7455-4EC1-BCF9-B7E9CA80452F}"/>
    <hyperlink ref="BM2" r:id="rId63" display="https://www.sec.gov/Archives/edgar/data/1318605/000162828026000016/exhibit9914.htm" xr:uid="{D5460E44-574E-4573-85D3-592DE209CB2E}"/>
    <hyperlink ref="BN2" r:id="rId64" display="https://www.sec.gov/Archives/edgar/data/1318605/000162828026022956/exhibit9911111.htm" xr:uid="{867EC697-FD99-427F-AD6E-A26B7C2EB105}"/>
    <hyperlink ref="BO2" r:id="rId65" display="https://www.sec.gov/Archives/edgar/data/1318605/000162828026046717/exhibit99111111.htm" xr:uid="{7EB23F8D-E5FF-4BB9-A1F2-DD9AAEBBE8CF}"/>
  </hyperlinks>
  <pageMargins left="0.7" right="0.7" top="0.75" bottom="0.75" header="0.3" footer="0.3"/>
  <drawing r:id="rId66"/>
  <legacyDrawing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Questions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Walton</dc:creator>
  <cp:lastModifiedBy>Dillon Walton</cp:lastModifiedBy>
  <dcterms:created xsi:type="dcterms:W3CDTF">2026-08-29T01:21:44Z</dcterms:created>
  <dcterms:modified xsi:type="dcterms:W3CDTF">2026-09-16T17:29:40Z</dcterms:modified>
</cp:coreProperties>
</file>