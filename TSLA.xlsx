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persons/person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13420" windowHeight="16940" tabRatio="600" firstSheet="0" activeTab="0" autoFilterDateGrouping="1"/>
  </bookViews>
  <sheets>
    <sheet name="Main" sheetId="1" state="visible" r:id="rId1"/>
    <sheet name="Questions" sheetId="2" state="visible" r:id="rId2"/>
    <sheet name="Model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Tahoma"/>
      <family val="2"/>
      <color rgb="FF000000"/>
      <sz val="10"/>
    </font>
    <font>
      <name val="Aptos Narrow"/>
      <family val="2"/>
      <color rgb="FF0563C1"/>
      <sz val="12"/>
      <u val="single"/>
      <scheme val="minor"/>
    </font>
    <font>
      <name val="Aptos Narrow"/>
      <b val="1"/>
      <color theme="1"/>
      <sz val="12"/>
      <scheme val="minor"/>
    </font>
    <font>
      <name val="Aptos Narrow"/>
      <color theme="1"/>
      <sz val="12"/>
      <scheme val="minor"/>
    </font>
    <font>
      <name val="Tahoma"/>
      <family val="2"/>
      <b val="1"/>
      <color rgb="FF000000"/>
      <sz val="10"/>
    </font>
    <font>
      <name val="Aptos Narrow"/>
      <color rgb="FF0563C1"/>
      <sz val="12"/>
      <u val="single"/>
      <scheme val="minor"/>
    </font>
    <font>
      <name val="Aptos Narrow"/>
      <color rgb="FF0563C1"/>
      <sz val="12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9" fontId="1" fillId="0" borderId="0"/>
  </cellStyleXfs>
  <cellXfs count="15">
    <xf numFmtId="0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9" fontId="0" fillId="0" borderId="0" pivotButton="0" quotePrefix="0" xfId="1"/>
    <xf numFmtId="3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Dillon Walton</author>
  </authors>
  <commentList>
    <comment ref="C26" authorId="0" shapeId="0">
      <text>
        <t>Dillon Walton:
q226 v3</t>
      </text>
    </comment>
    <comment ref="C27" authorId="0" shapeId="0">
      <text>
        <t>Dillon Walton:
q226 v3</t>
      </text>
    </comment>
    <comment ref="C28" authorId="0" shapeId="0">
      <text>
        <t>Dillon Walton:
q226 v3</t>
      </text>
    </comment>
    <comment ref="C29" authorId="0" shapeId="0">
      <text>
        <t>Dillon Walton:
powerwall 3p = three phase</t>
      </text>
    </comment>
  </commentList>
</comments>
</file>

<file path=xl/comments/comment2.xml><?xml version="1.0" encoding="utf-8"?>
<comments xmlns="http://schemas.openxmlformats.org/spreadsheetml/2006/main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C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D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E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F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G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H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I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J2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K2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L2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M2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N2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O2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P2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Q2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R2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S2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T2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U2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V2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W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X2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Y2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Z2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AA2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AB2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>
      <text>
        <t>Dillon Walton:
Book value lease assets</t>
      </text>
    </comment>
    <comment ref="B73" authorId="26" shapeId="0">
      <text>
        <t>Dillon Walton:
Book value of leased assets</t>
      </text>
    </comment>
  </commentList>
</comment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0</xdr:row>
      <xdr:rowOff>88900</xdr:rowOff>
    </xdr:from>
    <xdr:to>
      <xdr:col>28</xdr:col>
      <xdr:colOff>38100</xdr:colOff>
      <xdr:row>97</xdr:row>
      <xdr:rowOff>50800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5585CDC-7B72-4EE2-6630-4B94E900971F}"/>
            </a:ext>
          </a:extLst>
        </xdr:cNvPr>
        <xdr:cNvCxnSpPr/>
      </xdr:nvCxnSpPr>
      <xdr:spPr>
        <a:xfrm>
          <a:off x="23152100" y="88900"/>
          <a:ext cx="0" cy="74803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18605/000156459020014992/tsla-ex991_6.htm" TargetMode="External" Id="rId1" /><Relationship Type="http://schemas.openxmlformats.org/officeDocument/2006/relationships/hyperlink" Target="https://www.sec.gov/Archives/edgar/data/1318605/000156459020039353/tsla-ex991_6.htm" TargetMode="External" Id="rId2" /><Relationship Type="http://schemas.openxmlformats.org/officeDocument/2006/relationships/hyperlink" Target="https://www.sec.gov/Archives/edgar/data/1318605/000156459020045592/tsla-ex991_34.htm" TargetMode="External" Id="rId3" /><Relationship Type="http://schemas.openxmlformats.org/officeDocument/2006/relationships/hyperlink" Target="https://www.sec.gov/Archives/edgar/data/1318605/000156459021002645/tsla-ex991_99.htm" TargetMode="External" Id="rId4" /><Relationship Type="http://schemas.openxmlformats.org/officeDocument/2006/relationships/hyperlink" Target="https://www.sec.gov/Archives/edgar/data/1318605/000156459021020558/tsla-ex99_136.htm" TargetMode="External" Id="rId5" /><Relationship Type="http://schemas.openxmlformats.org/officeDocument/2006/relationships/hyperlink" Target="https://www.sec.gov/Archives/edgar/data/1318605/000095017021000423/tsla-20210702ex99_1.htm" TargetMode="External" Id="rId6" /><Relationship Type="http://schemas.openxmlformats.org/officeDocument/2006/relationships/hyperlink" Target="https://www.sec.gov/Archives/edgar/data/1318605/000156459021049874/tsla-ex991_6.htm" TargetMode="External" Id="rId7" /><Relationship Type="http://schemas.openxmlformats.org/officeDocument/2006/relationships/hyperlink" Target="https://www.sec.gov/Archives/edgar/data/1318605/000156459022000009/tsla-ex991_6.htm" TargetMode="External" Id="rId8" /><Relationship Type="http://schemas.openxmlformats.org/officeDocument/2006/relationships/hyperlink" Target="https://www.sec.gov/Archives/edgar/data/1318605/000156459022028207/tsla-ex991_6.htm" TargetMode="External" Id="rId9" /><Relationship Type="http://schemas.openxmlformats.org/officeDocument/2006/relationships/hyperlink" Target="https://www.sec.gov/Archives/edgar/data/1318605/000156459022034639/tsla-ex991_89.htm" TargetMode="External" Id="rId10" /><Relationship Type="http://schemas.openxmlformats.org/officeDocument/2006/relationships/hyperlink" Target="https://www.sec.gov/Archives/edgar/data/1318605/000156459023000799/tsla-ex991_127.htm" TargetMode="External" Id="rId11" /><Relationship Type="http://schemas.openxmlformats.org/officeDocument/2006/relationships/hyperlink" Target="https://www.sec.gov/Archives/edgar/data/1318605/000156459023005959/tsla-ex991_99.htm" TargetMode="External" Id="rId12" /><Relationship Type="http://schemas.openxmlformats.org/officeDocument/2006/relationships/hyperlink" Target="https://www.sec.gov/Archives/edgar/data/1318605/000095017023033544/tsla-ex99_1.htm" TargetMode="External" Id="rId13" /><Relationship Type="http://schemas.openxmlformats.org/officeDocument/2006/relationships/hyperlink" Target="https://www.sec.gov/Archives/edgar/data/1318605/000162828024043432/exhibit.htm" TargetMode="External" Id="rId14" /><Relationship Type="http://schemas.openxmlformats.org/officeDocument/2006/relationships/hyperlink" Target="https://www.sec.gov/Archives/edgar/data/1318605/000162828025000007/exhibit991.htm" TargetMode="External" Id="rId15" /><Relationship Type="http://schemas.openxmlformats.org/officeDocument/2006/relationships/hyperlink" Target="https://www.sec.gov/Archives/edgar/data/1318605/000162828025016070/exhibit9911.htm" TargetMode="External" Id="rId16" /><Relationship Type="http://schemas.openxmlformats.org/officeDocument/2006/relationships/hyperlink" Target="https://www.sec.gov/Archives/edgar/data/1318605/000162828025033842/exhibit99111.htm" TargetMode="External" Id="rId17" /><Relationship Type="http://schemas.openxmlformats.org/officeDocument/2006/relationships/hyperlink" Target="https://www.sec.gov/Archives/edgar/data/1318605/000162828025043530/exhibit991111.htm" TargetMode="External" Id="rId18" /><Relationship Type="http://schemas.openxmlformats.org/officeDocument/2006/relationships/hyperlink" Target="https://www.sec.gov/Archives/edgar/data/1318605/000162828026000016/exhibit9914.htm" TargetMode="External" Id="rId19" /><Relationship Type="http://schemas.openxmlformats.org/officeDocument/2006/relationships/hyperlink" Target="https://www.sec.gov/Archives/edgar/data/1318605/000162828026022956/exhibit9911111.htm" TargetMode="External" Id="rId20" /><Relationship Type="http://schemas.openxmlformats.org/officeDocument/2006/relationships/hyperlink" Target="https://www.sec.gov/Archives/edgar/data/1318605/000162828026046717/exhibit99111111.htm" TargetMode="External" Id="rId2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L34"/>
  <sheetViews>
    <sheetView tabSelected="1" workbookViewId="0">
      <selection activeCell="D31" sqref="D31"/>
    </sheetView>
  </sheetViews>
  <sheetFormatPr baseColWidth="10" defaultRowHeight="16" outlineLevelCol="0"/>
  <cols>
    <col width="12.83203125" bestFit="1" customWidth="1" min="3" max="3"/>
    <col width="12.6640625" bestFit="1" customWidth="1" min="12" max="12"/>
  </cols>
  <sheetData>
    <row r="4">
      <c r="C4" t="inlineStr">
        <is>
          <t>Giga Factory</t>
        </is>
      </c>
      <c r="D4" t="inlineStr">
        <is>
          <t>Texas</t>
        </is>
      </c>
      <c r="K4" t="inlineStr">
        <is>
          <t>Price</t>
        </is>
      </c>
      <c r="L4" s="1" t="n">
        <v>348.75</v>
      </c>
    </row>
    <row r="5">
      <c r="C5" t="inlineStr">
        <is>
          <t>Megafactory</t>
        </is>
      </c>
      <c r="D5" t="inlineStr">
        <is>
          <t>Brookshire, Texas</t>
        </is>
      </c>
      <c r="K5" t="inlineStr">
        <is>
          <t>s/o</t>
        </is>
      </c>
      <c r="L5" s="1" t="n">
        <v>3949547.394</v>
      </c>
    </row>
    <row r="6">
      <c r="C6" t="inlineStr">
        <is>
          <t>Megafactory</t>
        </is>
      </c>
      <c r="D6" t="inlineStr">
        <is>
          <t>Lathrop, California</t>
        </is>
      </c>
      <c r="K6" t="inlineStr">
        <is>
          <t>mkt cap</t>
        </is>
      </c>
      <c r="L6" s="1">
        <f>L5*L4</f>
        <v/>
      </c>
    </row>
    <row r="7">
      <c r="C7" t="inlineStr">
        <is>
          <t>Autobidder</t>
        </is>
      </c>
      <c r="K7" t="inlineStr">
        <is>
          <t>cash</t>
        </is>
      </c>
      <c r="L7" s="1">
        <f>15219+28305</f>
        <v/>
      </c>
    </row>
    <row r="8">
      <c r="K8" t="inlineStr">
        <is>
          <t>debt</t>
        </is>
      </c>
      <c r="L8" s="1">
        <f>1418+7924</f>
        <v/>
      </c>
    </row>
    <row r="9">
      <c r="K9" t="inlineStr">
        <is>
          <t>ev</t>
        </is>
      </c>
      <c r="L9" s="1">
        <f>L6-L7+L8</f>
        <v/>
      </c>
    </row>
    <row r="10">
      <c r="C10" t="inlineStr">
        <is>
          <t>Manufacturing</t>
        </is>
      </c>
    </row>
    <row r="11">
      <c r="C11" t="inlineStr">
        <is>
          <t>California</t>
        </is>
      </c>
    </row>
    <row r="12">
      <c r="C12" t="inlineStr">
        <is>
          <t>Shanghai</t>
        </is>
      </c>
    </row>
    <row r="13">
      <c r="C13" t="inlineStr">
        <is>
          <t>Berlin</t>
        </is>
      </c>
    </row>
    <row r="14">
      <c r="C14" t="inlineStr">
        <is>
          <t>Texas</t>
        </is>
      </c>
    </row>
    <row r="15">
      <c r="K15" t="inlineStr">
        <is>
          <t>Random things</t>
        </is>
      </c>
    </row>
    <row r="16">
      <c r="K16" t="inlineStr">
        <is>
          <t>Cathode material production</t>
        </is>
      </c>
    </row>
    <row r="17">
      <c r="C17" t="inlineStr">
        <is>
          <t>Model S</t>
        </is>
      </c>
      <c r="K17" t="inlineStr">
        <is>
          <t>Lithium refining</t>
        </is>
      </c>
    </row>
    <row r="18">
      <c r="C18" t="inlineStr">
        <is>
          <t>Model X</t>
        </is>
      </c>
      <c r="K18" t="inlineStr">
        <is>
          <t>LFP cells</t>
        </is>
      </c>
    </row>
    <row r="19">
      <c r="C19" t="inlineStr">
        <is>
          <t>Model 3</t>
        </is>
      </c>
      <c r="K19" t="inlineStr">
        <is>
          <t>4680 cells</t>
        </is>
      </c>
    </row>
    <row r="20">
      <c r="C20" t="inlineStr">
        <is>
          <t>Model Y</t>
        </is>
      </c>
    </row>
    <row r="21">
      <c r="C21" t="inlineStr">
        <is>
          <t>Cybertruck</t>
        </is>
      </c>
    </row>
    <row r="22">
      <c r="C22" t="inlineStr">
        <is>
          <t>Cybercab</t>
        </is>
      </c>
    </row>
    <row r="23">
      <c r="C23" t="inlineStr">
        <is>
          <t>Tesla Semi</t>
        </is>
      </c>
    </row>
    <row r="24">
      <c r="C24" t="inlineStr">
        <is>
          <t>Roadster</t>
        </is>
      </c>
    </row>
    <row r="26">
      <c r="C26" t="inlineStr">
        <is>
          <t>Megapack 1</t>
        </is>
      </c>
      <c r="D26" t="inlineStr">
        <is>
          <t>Lithium Ion battery storage</t>
        </is>
      </c>
    </row>
    <row r="27">
      <c r="C27" t="inlineStr">
        <is>
          <t>Megapack 2</t>
        </is>
      </c>
    </row>
    <row r="28">
      <c r="C28" t="inlineStr">
        <is>
          <t>Megapack 3</t>
        </is>
      </c>
    </row>
    <row r="29">
      <c r="C29" t="inlineStr">
        <is>
          <t>Powerwall 1</t>
        </is>
      </c>
    </row>
    <row r="30">
      <c r="C30" t="inlineStr">
        <is>
          <t>Powerwall 2</t>
        </is>
      </c>
    </row>
    <row r="31">
      <c r="C31" t="inlineStr">
        <is>
          <t>Powerwall 3</t>
        </is>
      </c>
    </row>
    <row r="32">
      <c r="C32" t="inlineStr">
        <is>
          <t>Megablock</t>
        </is>
      </c>
    </row>
    <row r="34">
      <c r="C34" t="inlineStr">
        <is>
          <t>Optimus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11"/>
  <sheetViews>
    <sheetView workbookViewId="0">
      <selection activeCell="E37" sqref="E37"/>
    </sheetView>
  </sheetViews>
  <sheetFormatPr baseColWidth="10" defaultRowHeight="16"/>
  <sheetData>
    <row r="4">
      <c r="B4" t="inlineStr">
        <is>
          <t>Manufacturing</t>
        </is>
      </c>
    </row>
    <row r="5">
      <c r="B5" t="inlineStr">
        <is>
          <t>Global Markets</t>
        </is>
      </c>
    </row>
    <row r="6">
      <c r="B6" t="inlineStr">
        <is>
          <t>Autobidder</t>
        </is>
      </c>
    </row>
    <row r="7">
      <c r="B7" t="inlineStr">
        <is>
          <t>Overlap between cars, batteries and charging</t>
        </is>
      </c>
    </row>
    <row r="9">
      <c r="B9" t="inlineStr">
        <is>
          <t>Megapack 1</t>
        </is>
      </c>
    </row>
    <row r="10">
      <c r="B10" t="inlineStr">
        <is>
          <t>Megapack 2</t>
        </is>
      </c>
    </row>
    <row r="11">
      <c r="B11" t="inlineStr">
        <is>
          <t>Megapack 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T96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B78" sqref="AB78"/>
    </sheetView>
  </sheetViews>
  <sheetFormatPr baseColWidth="10" defaultRowHeight="16" outlineLevelCol="0"/>
  <cols>
    <col width="23.5" bestFit="1" customWidth="1" min="2" max="2"/>
  </cols>
  <sheetData>
    <row r="2">
      <c r="C2" s="13" t="inlineStr">
        <is>
          <t>Q120</t>
        </is>
      </c>
      <c r="D2" s="13" t="inlineStr">
        <is>
          <t>Q220</t>
        </is>
      </c>
      <c r="E2" s="13" t="inlineStr">
        <is>
          <t>Q320</t>
        </is>
      </c>
      <c r="F2" s="13" t="inlineStr">
        <is>
          <t>Q420</t>
        </is>
      </c>
      <c r="G2" s="13" t="inlineStr">
        <is>
          <t>Q121</t>
        </is>
      </c>
      <c r="H2" s="13" t="inlineStr">
        <is>
          <t>Q221</t>
        </is>
      </c>
      <c r="I2" s="13" t="inlineStr">
        <is>
          <t>Q321</t>
        </is>
      </c>
      <c r="J2" s="13" t="inlineStr">
        <is>
          <t>Q421</t>
        </is>
      </c>
      <c r="K2" s="2" t="inlineStr">
        <is>
          <t>Q122</t>
        </is>
      </c>
      <c r="L2" s="13" t="inlineStr">
        <is>
          <t>Q222</t>
        </is>
      </c>
      <c r="M2" s="13" t="inlineStr">
        <is>
          <t>Q322</t>
        </is>
      </c>
      <c r="N2" s="13" t="inlineStr">
        <is>
          <t>Q422</t>
        </is>
      </c>
      <c r="O2" s="13" t="inlineStr">
        <is>
          <t>Q123</t>
        </is>
      </c>
      <c r="P2" s="13" t="inlineStr">
        <is>
          <t>Q223</t>
        </is>
      </c>
      <c r="Q2" s="2" t="inlineStr">
        <is>
          <t>Q323</t>
        </is>
      </c>
      <c r="R2" s="2" t="inlineStr">
        <is>
          <t>Q423</t>
        </is>
      </c>
      <c r="S2" s="2" t="inlineStr">
        <is>
          <t>Q124</t>
        </is>
      </c>
      <c r="T2" s="2" t="inlineStr">
        <is>
          <t>Q224</t>
        </is>
      </c>
      <c r="U2" s="13" t="inlineStr">
        <is>
          <t>Q324</t>
        </is>
      </c>
      <c r="V2" s="13" t="inlineStr">
        <is>
          <t>Q424</t>
        </is>
      </c>
      <c r="W2" s="13" t="inlineStr">
        <is>
          <t>Q125</t>
        </is>
      </c>
      <c r="X2" s="13" t="inlineStr">
        <is>
          <t>Q225</t>
        </is>
      </c>
      <c r="Y2" s="13" t="inlineStr">
        <is>
          <t>Q325</t>
        </is>
      </c>
      <c r="Z2" s="13" t="inlineStr">
        <is>
          <t>Q425</t>
        </is>
      </c>
      <c r="AA2" s="13" t="inlineStr">
        <is>
          <t>Q126</t>
        </is>
      </c>
      <c r="AB2" s="13" t="inlineStr">
        <is>
          <t>Q226</t>
        </is>
      </c>
      <c r="AC2" t="inlineStr">
        <is>
          <t>Q326</t>
        </is>
      </c>
      <c r="AD2" t="inlineStr">
        <is>
          <t>Q426</t>
        </is>
      </c>
      <c r="AE2" t="inlineStr">
        <is>
          <t>Q127</t>
        </is>
      </c>
      <c r="AF2" t="inlineStr">
        <is>
          <t>Q227</t>
        </is>
      </c>
      <c r="AG2" t="inlineStr">
        <is>
          <t>Q327</t>
        </is>
      </c>
      <c r="AH2" t="inlineStr">
        <is>
          <t>Q427</t>
        </is>
      </c>
      <c r="AI2" t="inlineStr">
        <is>
          <t>Q128</t>
        </is>
      </c>
      <c r="AJ2" t="inlineStr">
        <is>
          <t>Q228</t>
        </is>
      </c>
      <c r="AK2" t="inlineStr">
        <is>
          <t>Q328</t>
        </is>
      </c>
      <c r="AL2" t="inlineStr">
        <is>
          <t>Q428</t>
        </is>
      </c>
      <c r="AN2" t="n">
        <v>2024</v>
      </c>
      <c r="AO2" t="n">
        <v>2025</v>
      </c>
      <c r="AP2" t="n">
        <v>2026</v>
      </c>
      <c r="AQ2" t="n">
        <v>2027</v>
      </c>
      <c r="AR2" t="n">
        <v>2028</v>
      </c>
      <c r="AS2" t="n">
        <v>2029</v>
      </c>
      <c r="AT2" t="n">
        <v>2030</v>
      </c>
    </row>
    <row r="3"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</row>
    <row r="4">
      <c r="A4" t="inlineStr">
        <is>
          <t>CA</t>
        </is>
      </c>
      <c r="B4" t="inlineStr">
        <is>
          <t>Model 3 / Model Y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</row>
    <row r="5">
      <c r="B5" t="inlineStr">
        <is>
          <t>Model 3 / Model Y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</row>
    <row r="6"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</row>
    <row r="7"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</row>
    <row r="9">
      <c r="B9" s="3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 customFormat="1" s="7">
      <c r="B10" s="7" t="inlineStr">
        <is>
          <t>Model 3/Y production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" t="n">
        <v>396835</v>
      </c>
      <c r="Y10" s="1" t="n"/>
      <c r="Z10" s="1" t="n"/>
      <c r="AA10" s="1" t="n"/>
      <c r="AB10" s="1" t="n"/>
      <c r="AC10" s="1" t="n"/>
      <c r="AD10" s="1" t="n"/>
      <c r="AE10" s="1" t="n"/>
      <c r="AF10" s="11" t="n"/>
      <c r="AG10" s="11" t="n"/>
      <c r="AH10" s="11" t="n"/>
    </row>
    <row r="11" customFormat="1" s="7">
      <c r="B11" s="7" t="inlineStr">
        <is>
          <t>Other models production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" t="n">
        <v>13409</v>
      </c>
      <c r="Y11" s="1" t="n"/>
      <c r="Z11" s="1" t="n"/>
      <c r="AA11" s="1" t="n"/>
      <c r="AB11" s="1" t="n"/>
      <c r="AC11" s="1" t="n"/>
      <c r="AD11" s="1" t="n"/>
      <c r="AE11" s="1" t="n"/>
      <c r="AF11" s="11" t="n"/>
      <c r="AG11" s="11" t="n"/>
      <c r="AH11" s="11" t="n"/>
    </row>
    <row r="12" customFormat="1" s="7">
      <c r="B12" s="7" t="inlineStr">
        <is>
          <t>Total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1">
        <f>SUM(X10:X11)</f>
        <v/>
      </c>
      <c r="Y12" s="1" t="n"/>
      <c r="Z12" s="1" t="n"/>
      <c r="AA12" s="1" t="n"/>
      <c r="AB12" s="1" t="n"/>
      <c r="AC12" s="1" t="n"/>
      <c r="AD12" s="1" t="n"/>
      <c r="AE12" s="1" t="n"/>
    </row>
    <row r="13" customFormat="1" s="7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customFormat="1" s="7">
      <c r="B14" s="7" t="inlineStr">
        <is>
          <t>Model 3/Y deliveries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customFormat="1" s="7">
      <c r="B15" s="7" t="inlineStr">
        <is>
          <t xml:space="preserve">Other model 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customFormat="1" s="7"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1" t="n"/>
      <c r="Y16" s="1" t="n"/>
      <c r="Z16" s="1" t="n"/>
      <c r="AA16" s="1" t="n"/>
      <c r="AB16" s="1" t="n"/>
      <c r="AC16" s="1" t="n"/>
      <c r="AD16" s="1" t="n"/>
      <c r="AE16" s="1" t="n"/>
    </row>
    <row r="17" customFormat="1" s="7"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>
      <c r="B18" s="3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</row>
    <row r="19">
      <c r="B19" t="inlineStr">
        <is>
          <t>Auto Sales</t>
        </is>
      </c>
      <c r="X19" s="1" t="n">
        <v>15787</v>
      </c>
      <c r="Y19" s="1" t="n">
        <v>20359</v>
      </c>
      <c r="Z19" s="1" t="n">
        <v>16750</v>
      </c>
      <c r="AA19" s="1" t="n">
        <v>15473</v>
      </c>
      <c r="AB19" s="1" t="n">
        <v>20006</v>
      </c>
    </row>
    <row r="20">
      <c r="B20" t="inlineStr">
        <is>
          <t>Auto Sales COGs</t>
        </is>
      </c>
      <c r="X20" s="1" t="n">
        <v>13567</v>
      </c>
      <c r="Y20" s="1" t="n">
        <v>17365</v>
      </c>
      <c r="Z20" s="1" t="n">
        <v>13874</v>
      </c>
      <c r="AA20" s="1" t="n">
        <v>12616</v>
      </c>
      <c r="AB20" s="1" t="n">
        <v>16866</v>
      </c>
    </row>
    <row r="22">
      <c r="X22" s="1" t="n"/>
      <c r="Y22" s="1" t="n"/>
      <c r="Z22" s="1" t="n"/>
      <c r="AA22" s="1" t="n"/>
      <c r="AB22" s="1" t="n"/>
    </row>
    <row r="23">
      <c r="B23" t="inlineStr">
        <is>
          <t>Auto Leasing</t>
        </is>
      </c>
      <c r="X23" s="1" t="n">
        <v>435</v>
      </c>
      <c r="Y23" s="1" t="n">
        <v>429</v>
      </c>
      <c r="Z23" s="1" t="n">
        <v>401</v>
      </c>
      <c r="AA23" s="1" t="n">
        <v>381</v>
      </c>
      <c r="AB23" s="1" t="n">
        <v>364</v>
      </c>
    </row>
    <row r="24">
      <c r="B24" t="inlineStr">
        <is>
          <t>Auto Leasing COGs</t>
        </is>
      </c>
      <c r="X24" s="1" t="n">
        <v>228</v>
      </c>
      <c r="Y24" s="1" t="n">
        <v>225</v>
      </c>
      <c r="Z24" s="1" t="n">
        <v>206</v>
      </c>
      <c r="AA24" s="1" t="n">
        <v>196</v>
      </c>
      <c r="AB24" s="1" t="n">
        <v>187</v>
      </c>
    </row>
    <row r="26">
      <c r="X26" s="1" t="n"/>
      <c r="Y26" s="1" t="n"/>
      <c r="Z26" s="1" t="n"/>
      <c r="AA26" s="1" t="n"/>
      <c r="AB26" s="1" t="n"/>
    </row>
    <row r="27">
      <c r="B27" t="inlineStr">
        <is>
          <t>Auto Reg Credits</t>
        </is>
      </c>
      <c r="X27" s="1" t="n">
        <v>439</v>
      </c>
      <c r="Y27" s="1" t="n">
        <v>417</v>
      </c>
      <c r="Z27" s="1" t="n">
        <v>542</v>
      </c>
      <c r="AA27" s="1" t="n">
        <v>380</v>
      </c>
      <c r="AB27" s="1" t="n">
        <v>146</v>
      </c>
    </row>
    <row r="28">
      <c r="X28" s="1" t="n"/>
      <c r="Y28" s="1" t="n"/>
      <c r="Z28" s="1" t="n"/>
      <c r="AA28" s="1" t="n"/>
      <c r="AB28" s="1" t="n"/>
    </row>
    <row r="29">
      <c r="B29" t="inlineStr">
        <is>
          <t>Auto Sales Margin</t>
        </is>
      </c>
      <c r="X29" s="5">
        <f>1-(X20/X19)</f>
        <v/>
      </c>
      <c r="Y29" s="5">
        <f>1-(Y20/Y19)</f>
        <v/>
      </c>
      <c r="Z29" s="5">
        <f>1-(Z20/Z19)</f>
        <v/>
      </c>
      <c r="AA29" s="5">
        <f>1-(AA20/AA19)</f>
        <v/>
      </c>
      <c r="AB29" s="5">
        <f>1-(AB20/AB19)</f>
        <v/>
      </c>
    </row>
    <row r="30">
      <c r="B30" t="inlineStr">
        <is>
          <t>Auto Leasing Margin</t>
        </is>
      </c>
      <c r="X30" s="5">
        <f>1-(X24/X23)</f>
        <v/>
      </c>
      <c r="Y30" s="5">
        <f>1-(Y24/Y23)</f>
        <v/>
      </c>
      <c r="Z30" s="5">
        <f>1-(Z24/Z23)</f>
        <v/>
      </c>
      <c r="AA30" s="5">
        <f>1-(AA24/AA23)</f>
        <v/>
      </c>
      <c r="AB30" s="5">
        <f>1-(AB24/AB23)</f>
        <v/>
      </c>
    </row>
    <row r="31">
      <c r="X31" s="1" t="n"/>
      <c r="Y31" s="1" t="n"/>
      <c r="Z31" s="1" t="n"/>
      <c r="AA31" s="1" t="n"/>
      <c r="AB31" s="1" t="n"/>
    </row>
    <row r="32">
      <c r="B32" t="inlineStr">
        <is>
          <t>Automotive</t>
        </is>
      </c>
      <c r="X32" s="1">
        <f>X27+X23+X19</f>
        <v/>
      </c>
      <c r="Y32" s="1">
        <f>Y27+Y23+Y19</f>
        <v/>
      </c>
      <c r="Z32" s="1">
        <f>Z27+Z23+Z19</f>
        <v/>
      </c>
      <c r="AA32" s="1">
        <f>AA27+AA23+AA19</f>
        <v/>
      </c>
      <c r="AB32" s="1">
        <f>AB27+AB23+AB19</f>
        <v/>
      </c>
    </row>
    <row r="33">
      <c r="X33" s="1" t="n"/>
      <c r="Y33" s="1" t="n"/>
      <c r="Z33" s="1" t="n"/>
      <c r="AA33" s="1" t="n"/>
      <c r="AB33" s="1" t="n"/>
    </row>
    <row r="34">
      <c r="X34" s="1" t="n"/>
      <c r="Y34" s="1" t="n"/>
      <c r="Z34" s="1" t="n"/>
      <c r="AA34" s="1" t="n"/>
      <c r="AB34" s="1" t="n"/>
    </row>
    <row r="35">
      <c r="B35" t="inlineStr">
        <is>
          <t>Storage Deployed (GWh)</t>
        </is>
      </c>
      <c r="X35" s="14" t="n">
        <v>9.6</v>
      </c>
      <c r="Y35" s="14" t="n">
        <v>12.5</v>
      </c>
      <c r="Z35" s="14" t="n">
        <v>14.2</v>
      </c>
      <c r="AA35" s="14" t="n">
        <v>8.800000000000001</v>
      </c>
      <c r="AB35" s="14" t="n">
        <v>13.5</v>
      </c>
    </row>
    <row r="37">
      <c r="B37" t="inlineStr">
        <is>
          <t>Energy Generation + Sorage</t>
        </is>
      </c>
      <c r="X37" s="1" t="n">
        <v>2789</v>
      </c>
      <c r="Y37" s="1" t="n">
        <v>3415</v>
      </c>
      <c r="Z37" s="1" t="n">
        <v>3837</v>
      </c>
      <c r="AA37" s="1" t="n">
        <v>2408</v>
      </c>
      <c r="AB37" s="1" t="n">
        <v>3139</v>
      </c>
    </row>
    <row r="38">
      <c r="B38" t="inlineStr">
        <is>
          <t>Energy Generation + Sorage COGS</t>
        </is>
      </c>
      <c r="X38" s="1" t="n">
        <v>1943</v>
      </c>
      <c r="Y38" s="1" t="n">
        <v>2342</v>
      </c>
      <c r="Z38" s="1" t="n">
        <v>2739</v>
      </c>
      <c r="AA38" s="1" t="n">
        <v>1456</v>
      </c>
      <c r="AB38" s="1" t="n">
        <v>2499</v>
      </c>
    </row>
    <row r="39">
      <c r="B39" s="7" t="n"/>
    </row>
    <row r="40">
      <c r="B40" t="inlineStr">
        <is>
          <t>Services + other</t>
        </is>
      </c>
      <c r="X40" s="1" t="n">
        <v>3046</v>
      </c>
      <c r="Y40" s="1" t="n">
        <v>3475</v>
      </c>
      <c r="Z40" s="1" t="n">
        <v>3371</v>
      </c>
      <c r="AA40" s="1" t="n">
        <v>3745</v>
      </c>
      <c r="AB40" s="1" t="n">
        <v>4581</v>
      </c>
    </row>
    <row r="41">
      <c r="B41" t="inlineStr">
        <is>
          <t>Services + other COGs</t>
        </is>
      </c>
      <c r="X41" s="1" t="n">
        <v>2880</v>
      </c>
      <c r="Y41" s="1" t="n">
        <v>3109</v>
      </c>
      <c r="Z41" s="1" t="n">
        <v>3073</v>
      </c>
      <c r="AA41" s="1" t="n">
        <v>3399</v>
      </c>
      <c r="AB41" s="1" t="n">
        <v>3933</v>
      </c>
    </row>
    <row r="42">
      <c r="X42" s="5" t="n"/>
      <c r="Y42" s="5" t="n"/>
      <c r="Z42" s="5" t="n"/>
      <c r="AA42" s="5" t="n"/>
      <c r="AB42" s="5" t="n"/>
    </row>
    <row r="43">
      <c r="B43" t="inlineStr">
        <is>
          <t>Auto Margin</t>
        </is>
      </c>
      <c r="X43" s="5">
        <f>1-((X24+X20)/X32)</f>
        <v/>
      </c>
      <c r="Y43" s="5">
        <f>1-((Y24+Y20)/Y32)</f>
        <v/>
      </c>
      <c r="Z43" s="5">
        <f>1-((Z24+Z20)/Z32)</f>
        <v/>
      </c>
      <c r="AA43" s="5">
        <f>1-((AA24+AA20)/AA32)</f>
        <v/>
      </c>
      <c r="AB43" s="5">
        <f>1-((AB24+AB20)/AB32)</f>
        <v/>
      </c>
    </row>
    <row r="44">
      <c r="B44" t="inlineStr">
        <is>
          <t>Energy + Storage Margin</t>
        </is>
      </c>
      <c r="X44" s="5">
        <f>1-(X38/X37)</f>
        <v/>
      </c>
      <c r="Y44" s="5">
        <f>1-(Y38/Y37)</f>
        <v/>
      </c>
      <c r="Z44" s="5">
        <f>1-(Z38/Z37)</f>
        <v/>
      </c>
      <c r="AA44" s="5">
        <f>1-(AA38/AA37)</f>
        <v/>
      </c>
      <c r="AB44" s="5">
        <f>1-(AB38/AB37)</f>
        <v/>
      </c>
    </row>
    <row r="45">
      <c r="B45" t="inlineStr">
        <is>
          <t>Services Margin</t>
        </is>
      </c>
      <c r="X45" s="5">
        <f>1-(X41/X40)</f>
        <v/>
      </c>
      <c r="Y45" s="5">
        <f>1-(Y41/Y40)</f>
        <v/>
      </c>
      <c r="Z45" s="5">
        <f>1-(Z41/Z40)</f>
        <v/>
      </c>
      <c r="AA45" s="5">
        <f>1-(AA41/AA40)</f>
        <v/>
      </c>
      <c r="AB45" s="5">
        <f>1-(AB41/AB40)</f>
        <v/>
      </c>
    </row>
    <row r="47" customFormat="1" s="3">
      <c r="B47" s="3" t="inlineStr">
        <is>
          <t>Revenue</t>
        </is>
      </c>
      <c r="X47" s="6">
        <f>X40+X37+X32</f>
        <v/>
      </c>
      <c r="Y47" s="3">
        <f>Y40+Y37+Y32</f>
        <v/>
      </c>
      <c r="Z47" s="3">
        <f>Z40+Z37+Z32</f>
        <v/>
      </c>
      <c r="AA47" s="3">
        <f>AA40+AA37+AA32</f>
        <v/>
      </c>
      <c r="AB47" s="3">
        <f>AB40+AB37+AB32</f>
        <v/>
      </c>
    </row>
    <row r="48">
      <c r="B48" t="inlineStr">
        <is>
          <t>COGs</t>
        </is>
      </c>
      <c r="X48" s="1">
        <f>X41+X38+X24+X20</f>
        <v/>
      </c>
      <c r="Y48" s="1">
        <f>Y41+Y38+Y24+Y20</f>
        <v/>
      </c>
      <c r="Z48" s="1">
        <f>Z41+Z38+Z24+Z20</f>
        <v/>
      </c>
      <c r="AA48" s="1">
        <f>AA41+AA38+AA24+AA20</f>
        <v/>
      </c>
      <c r="AB48" s="1">
        <f>AB41+AB38+AB24+AB20</f>
        <v/>
      </c>
    </row>
    <row r="49">
      <c r="B49" t="inlineStr">
        <is>
          <t>Gross Profit</t>
        </is>
      </c>
      <c r="X49" s="1">
        <f>X47-X48</f>
        <v/>
      </c>
      <c r="Y49" s="1">
        <f>Y47-Y48</f>
        <v/>
      </c>
      <c r="Z49" s="1">
        <f>Z47-Z48</f>
        <v/>
      </c>
      <c r="AA49" s="1">
        <f>AA47-AA48</f>
        <v/>
      </c>
      <c r="AB49" s="1">
        <f>AB47-AB48</f>
        <v/>
      </c>
    </row>
    <row r="50">
      <c r="B50" t="inlineStr">
        <is>
          <t>R&amp;D</t>
        </is>
      </c>
      <c r="X50" s="1" t="n">
        <v>1589</v>
      </c>
      <c r="Y50" s="1" t="n">
        <v>1630</v>
      </c>
      <c r="Z50" s="1" t="n">
        <v>1783</v>
      </c>
      <c r="AA50" s="1" t="n">
        <v>1946</v>
      </c>
      <c r="AB50" s="1" t="n">
        <v>2371</v>
      </c>
    </row>
    <row r="51">
      <c r="B51" t="inlineStr">
        <is>
          <t>SG&amp;A</t>
        </is>
      </c>
      <c r="X51" s="1" t="n">
        <v>1366</v>
      </c>
      <c r="Y51" s="1" t="n">
        <v>1562</v>
      </c>
      <c r="Z51" s="1" t="n">
        <v>1655</v>
      </c>
      <c r="AA51" s="1" t="n">
        <v>1833</v>
      </c>
      <c r="AB51" s="1" t="n">
        <v>1982</v>
      </c>
    </row>
    <row r="52">
      <c r="B52" t="inlineStr">
        <is>
          <t>Restructuring</t>
        </is>
      </c>
      <c r="X52" t="n">
        <v>0</v>
      </c>
      <c r="Y52" t="n">
        <v>238</v>
      </c>
      <c r="Z52" t="n">
        <v>162</v>
      </c>
      <c r="AA52" t="n">
        <v>0</v>
      </c>
      <c r="AB52" t="n">
        <v>0</v>
      </c>
    </row>
    <row r="53">
      <c r="B53" t="inlineStr">
        <is>
          <t>Opex</t>
        </is>
      </c>
      <c r="X53" s="1">
        <f>SUM(X50:X52)</f>
        <v/>
      </c>
      <c r="Y53" s="1">
        <f>SUM(Y50:Y52)</f>
        <v/>
      </c>
      <c r="Z53" s="1">
        <f>SUM(Z50:Z52)</f>
        <v/>
      </c>
      <c r="AA53" s="1">
        <f>SUM(AA50:AA52)</f>
        <v/>
      </c>
      <c r="AB53" s="1">
        <f>SUM(AB50:AB52)</f>
        <v/>
      </c>
    </row>
    <row r="54">
      <c r="B54" t="inlineStr">
        <is>
          <t>Operating profits</t>
        </is>
      </c>
      <c r="X54" s="1">
        <f>X49-X53</f>
        <v/>
      </c>
      <c r="Y54" s="1">
        <f>Y49-Y53</f>
        <v/>
      </c>
      <c r="Z54" s="1">
        <f>Z49-Z53</f>
        <v/>
      </c>
      <c r="AA54" s="1">
        <f>AA49-AA53</f>
        <v/>
      </c>
      <c r="AB54" s="1">
        <f>AB49-AB53</f>
        <v/>
      </c>
    </row>
    <row r="55">
      <c r="B55" t="inlineStr">
        <is>
          <t>Interest Income (loss)</t>
        </is>
      </c>
      <c r="X55">
        <f>392-86</f>
        <v/>
      </c>
      <c r="Y55">
        <f>439-76</f>
        <v/>
      </c>
      <c r="Z55">
        <f>449-85</f>
        <v/>
      </c>
      <c r="AA55">
        <f>434-92</f>
        <v/>
      </c>
      <c r="AB55">
        <f>422-81</f>
        <v/>
      </c>
    </row>
    <row r="56">
      <c r="B56" t="inlineStr">
        <is>
          <t>Other Income (loss)</t>
        </is>
      </c>
      <c r="X56">
        <f>320</f>
        <v/>
      </c>
      <c r="Y56" t="n">
        <v>-28</v>
      </c>
      <c r="Z56" t="n">
        <v>-592</v>
      </c>
      <c r="AA56" t="n">
        <v>-535</v>
      </c>
      <c r="AB56" t="n">
        <v>590</v>
      </c>
    </row>
    <row r="57">
      <c r="B57" t="inlineStr">
        <is>
          <t>Taxes</t>
        </is>
      </c>
      <c r="X57" t="n">
        <v>359</v>
      </c>
      <c r="Y57" t="n">
        <v>570</v>
      </c>
      <c r="Z57" t="n">
        <v>325</v>
      </c>
      <c r="AA57" t="n">
        <v>257</v>
      </c>
      <c r="AB57" t="n">
        <v>201</v>
      </c>
    </row>
    <row r="58" customFormat="1" s="3">
      <c r="B58" s="3" t="inlineStr">
        <is>
          <t>Net income</t>
        </is>
      </c>
      <c r="X58" s="6">
        <f>X54+X55+X56-X57</f>
        <v/>
      </c>
      <c r="Y58" s="6">
        <f>Y54+Y55+Y56-Y57</f>
        <v/>
      </c>
      <c r="Z58" s="6">
        <f>Z54+Z55+Z56-Z57</f>
        <v/>
      </c>
      <c r="AA58" s="6">
        <f>AA54+AA55+AA56-AA57</f>
        <v/>
      </c>
      <c r="AB58" s="6">
        <f>AB54+AB55+AB56-AB57</f>
        <v/>
      </c>
    </row>
    <row r="59" customFormat="1" s="3"/>
    <row r="60" customFormat="1" s="7">
      <c r="B60" s="7" t="inlineStr">
        <is>
          <t>Tax rate</t>
        </is>
      </c>
      <c r="X60" s="8">
        <f>X57/SUM(X54:X56)</f>
        <v/>
      </c>
      <c r="Y60" s="8">
        <f>Y57/SUM(Y54:Y56)</f>
        <v/>
      </c>
      <c r="Z60" s="8">
        <f>Z57/SUM(Z54:Z56)</f>
        <v/>
      </c>
      <c r="AA60" s="8">
        <f>AA57/SUM(AA54:AA56)</f>
        <v/>
      </c>
      <c r="AB60" s="8">
        <f>AB57/SUM(AB54:AB56)</f>
        <v/>
      </c>
    </row>
    <row r="62">
      <c r="B62" t="inlineStr">
        <is>
          <t>Gross Margin</t>
        </is>
      </c>
      <c r="X62" s="5">
        <f>1-(X48/X47)</f>
        <v/>
      </c>
      <c r="Y62" s="5">
        <f>1-(Y48/Y47)</f>
        <v/>
      </c>
      <c r="Z62" s="5">
        <f>1-(Z48/Z47)</f>
        <v/>
      </c>
      <c r="AA62" s="5">
        <f>1-(AA48/AA47)</f>
        <v/>
      </c>
      <c r="AB62" s="5">
        <f>1-(AB48/AB47)</f>
        <v/>
      </c>
    </row>
    <row r="63">
      <c r="B63" t="inlineStr">
        <is>
          <t>Operating Margin</t>
        </is>
      </c>
      <c r="X63" s="4">
        <f>X54/X47</f>
        <v/>
      </c>
      <c r="Y63" s="4">
        <f>Y54/Y47</f>
        <v/>
      </c>
      <c r="Z63" s="4">
        <f>Z54/Z47</f>
        <v/>
      </c>
      <c r="AA63" s="4">
        <f>AA54/AA47</f>
        <v/>
      </c>
      <c r="AB63" s="4">
        <f>AB54/AB47</f>
        <v/>
      </c>
    </row>
    <row r="68">
      <c r="B68" t="inlineStr">
        <is>
          <t>Cash</t>
        </is>
      </c>
      <c r="X68" s="1" t="n">
        <v>36782</v>
      </c>
      <c r="Y68" s="1" t="n">
        <v>41647</v>
      </c>
      <c r="Z68" s="1" t="n">
        <v>44059</v>
      </c>
      <c r="AA68" s="1" t="n">
        <v>44743</v>
      </c>
      <c r="AB68" s="1">
        <f>15219+28305</f>
        <v/>
      </c>
      <c r="AC68" s="1" t="n"/>
      <c r="AD68" s="1" t="n"/>
      <c r="AE68" s="1" t="n"/>
      <c r="AF68" s="1" t="n"/>
      <c r="AG68" s="1" t="n"/>
      <c r="AH68" s="1" t="n"/>
    </row>
    <row r="69">
      <c r="B69" t="inlineStr">
        <is>
          <t>AR</t>
        </is>
      </c>
      <c r="X69" s="1" t="n">
        <v>3838</v>
      </c>
      <c r="Y69" s="1" t="n">
        <v>4703</v>
      </c>
      <c r="Z69" s="1" t="n">
        <v>4576</v>
      </c>
      <c r="AA69" s="1" t="n">
        <v>3959</v>
      </c>
      <c r="AB69" s="1" t="n">
        <v>4087</v>
      </c>
      <c r="AC69" s="1" t="n"/>
      <c r="AD69" s="1" t="n"/>
      <c r="AE69" s="1" t="n"/>
      <c r="AF69" s="1" t="n"/>
      <c r="AG69" s="1" t="n"/>
      <c r="AH69" s="1" t="n"/>
    </row>
    <row r="70">
      <c r="B70" t="inlineStr">
        <is>
          <t>Inventory</t>
        </is>
      </c>
      <c r="X70" s="1" t="n">
        <v>14570</v>
      </c>
      <c r="Y70" s="1" t="n">
        <v>12276</v>
      </c>
      <c r="Z70" s="1" t="n">
        <v>12392</v>
      </c>
      <c r="AA70" s="1" t="n">
        <v>14434</v>
      </c>
      <c r="AB70" s="1" t="n">
        <v>13752</v>
      </c>
      <c r="AC70" s="1" t="n"/>
      <c r="AD70" s="1" t="n"/>
      <c r="AE70" s="1" t="n"/>
      <c r="AF70" s="1" t="n"/>
      <c r="AG70" s="1" t="n"/>
      <c r="AH70" s="1" t="n"/>
    </row>
    <row r="71">
      <c r="B71" t="inlineStr">
        <is>
          <t>Prepaid Expenses</t>
        </is>
      </c>
      <c r="X71" s="1" t="n">
        <v>5943</v>
      </c>
      <c r="Y71" s="1" t="n">
        <v>6027</v>
      </c>
      <c r="Z71" s="1" t="n">
        <v>7615</v>
      </c>
      <c r="AA71" s="1" t="n">
        <v>6612</v>
      </c>
      <c r="AB71" s="1" t="n">
        <v>7395</v>
      </c>
      <c r="AC71" s="1" t="n"/>
      <c r="AD71" s="1" t="n"/>
      <c r="AE71" s="1" t="n"/>
      <c r="AF71" s="1" t="n"/>
      <c r="AG71" s="1" t="n"/>
      <c r="AH71" s="1" t="n"/>
    </row>
    <row r="72">
      <c r="B72" t="inlineStr">
        <is>
          <t>Operating lease vehicles</t>
        </is>
      </c>
      <c r="X72" s="1" t="n">
        <v>5230</v>
      </c>
      <c r="Y72" s="1" t="n">
        <v>5019</v>
      </c>
      <c r="Z72" s="1" t="n">
        <v>4912</v>
      </c>
      <c r="AA72" s="1" t="n"/>
      <c r="AB72" s="1" t="n">
        <v>4253</v>
      </c>
      <c r="AC72" s="1" t="n"/>
      <c r="AD72" s="1" t="n"/>
      <c r="AE72" s="1" t="n"/>
      <c r="AF72" s="1" t="n"/>
      <c r="AG72" s="1" t="n"/>
      <c r="AH72" s="1" t="n"/>
    </row>
    <row r="73">
      <c r="B73" t="inlineStr">
        <is>
          <t>Energy Gen + Storage Syst</t>
        </is>
      </c>
      <c r="X73" s="1" t="n">
        <v>4788</v>
      </c>
      <c r="Y73" s="1" t="n">
        <v>4673</v>
      </c>
      <c r="Z73" s="1" t="n">
        <v>4604</v>
      </c>
      <c r="AA73" s="1" t="n"/>
      <c r="AB73" s="1" t="n">
        <v>4510</v>
      </c>
      <c r="AC73" s="1" t="n"/>
      <c r="AD73" s="1" t="n"/>
      <c r="AE73" s="1" t="n"/>
      <c r="AF73" s="1" t="n"/>
      <c r="AG73" s="1" t="n"/>
      <c r="AH73" s="1" t="n"/>
    </row>
    <row r="74">
      <c r="B74" t="inlineStr">
        <is>
          <t>PP&amp;E</t>
        </is>
      </c>
      <c r="X74" s="1" t="n">
        <v>38574</v>
      </c>
      <c r="Y74" s="1" t="n">
        <v>39407</v>
      </c>
      <c r="Z74" s="1" t="n">
        <v>40643</v>
      </c>
      <c r="AA74" s="1" t="n"/>
      <c r="AB74" s="1" t="n">
        <v>47255</v>
      </c>
      <c r="AC74" s="1" t="n"/>
      <c r="AD74" s="1" t="n"/>
      <c r="AE74" s="1" t="n"/>
      <c r="AF74" s="1" t="n"/>
      <c r="AG74" s="1" t="n"/>
      <c r="AH74" s="1" t="n"/>
    </row>
    <row r="75">
      <c r="B75" t="inlineStr">
        <is>
          <t>Operating lease right-of-use</t>
        </is>
      </c>
      <c r="X75" s="1" t="n">
        <v>5633</v>
      </c>
      <c r="Y75" s="1" t="n">
        <v>5783</v>
      </c>
      <c r="Z75" s="1" t="n">
        <v>6027</v>
      </c>
      <c r="AA75" s="1" t="n"/>
      <c r="AB75" s="1" t="n">
        <v>6386</v>
      </c>
      <c r="AC75" s="1" t="n"/>
      <c r="AD75" s="1" t="n"/>
      <c r="AE75" s="1" t="n"/>
      <c r="AF75" s="1" t="n"/>
      <c r="AG75" s="1" t="n"/>
      <c r="AH75" s="1" t="n"/>
    </row>
    <row r="76">
      <c r="B76" t="inlineStr">
        <is>
          <t>Digital assets</t>
        </is>
      </c>
      <c r="X76" s="1" t="n">
        <v>1235</v>
      </c>
      <c r="Y76" s="1" t="n">
        <v>1315</v>
      </c>
      <c r="Z76" s="1" t="n">
        <v>1008</v>
      </c>
      <c r="AA76" s="1" t="n"/>
      <c r="AB76" s="1" t="n">
        <v>674</v>
      </c>
      <c r="AC76" s="1" t="n"/>
      <c r="AD76" s="1" t="n"/>
      <c r="AE76" s="1" t="n"/>
      <c r="AF76" s="1" t="n"/>
      <c r="AG76" s="1" t="n"/>
      <c r="AH76" s="1" t="n"/>
    </row>
    <row r="77">
      <c r="B77" t="inlineStr">
        <is>
          <t>Defered tax</t>
        </is>
      </c>
      <c r="X77" s="1" t="n">
        <v>6721</v>
      </c>
      <c r="Y77" s="1" t="n">
        <v>6637</v>
      </c>
      <c r="Z77" s="1" t="n">
        <v>6925</v>
      </c>
      <c r="AA77" s="1" t="n"/>
      <c r="AB77" s="1" t="n">
        <v>7235</v>
      </c>
      <c r="AC77" s="1" t="n"/>
      <c r="AD77" s="1" t="n"/>
      <c r="AE77" s="1" t="n"/>
      <c r="AF77" s="1" t="n"/>
      <c r="AG77" s="1" t="n"/>
      <c r="AH77" s="1" t="n"/>
    </row>
    <row r="78">
      <c r="B78" t="inlineStr">
        <is>
          <t>Other</t>
        </is>
      </c>
      <c r="X78" s="1" t="n">
        <v>5253</v>
      </c>
      <c r="Y78" s="1" t="n">
        <v>6248</v>
      </c>
      <c r="Z78" s="1" t="n">
        <v>5045</v>
      </c>
      <c r="AA78" s="1" t="n"/>
      <c r="AB78" s="1" t="n">
        <v>9453</v>
      </c>
      <c r="AC78" s="1" t="n"/>
      <c r="AD78" s="1" t="n"/>
      <c r="AE78" s="1" t="n"/>
      <c r="AF78" s="1" t="n"/>
      <c r="AG78" s="1" t="n"/>
      <c r="AH78" s="1" t="n"/>
    </row>
    <row r="79">
      <c r="B79" t="inlineStr">
        <is>
          <t>Assets</t>
        </is>
      </c>
      <c r="X79" s="1">
        <f>SUM(X68:X78)</f>
        <v/>
      </c>
      <c r="Y79" s="1">
        <f>SUM(Y68:Y78)</f>
        <v/>
      </c>
      <c r="Z79" s="1">
        <f>SUM(Z68:Z78)</f>
        <v/>
      </c>
      <c r="AA79" s="1">
        <f>SUM(AA68:AA78)</f>
        <v/>
      </c>
      <c r="AB79" s="1">
        <f>SUM(AB68:AB78)</f>
        <v/>
      </c>
      <c r="AC79" s="1" t="n"/>
      <c r="AD79" s="1" t="n"/>
      <c r="AE79" s="1" t="n"/>
      <c r="AF79" s="1" t="n"/>
      <c r="AG79" s="1" t="n"/>
      <c r="AH79" s="1" t="n"/>
    </row>
    <row r="80"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>
      <c r="B81" t="inlineStr">
        <is>
          <t>AP</t>
        </is>
      </c>
      <c r="X81" s="1" t="n">
        <v>13212</v>
      </c>
      <c r="Y81" s="1" t="n">
        <v>12819</v>
      </c>
      <c r="Z81" s="1" t="n">
        <v>13371</v>
      </c>
      <c r="AA81" s="1" t="n"/>
      <c r="AB81" s="1" t="n">
        <v>15324</v>
      </c>
      <c r="AC81" s="1" t="n"/>
      <c r="AD81" s="1" t="n"/>
      <c r="AE81" s="1" t="n"/>
      <c r="AF81" s="1" t="n"/>
      <c r="AG81" s="1" t="n"/>
      <c r="AH81" s="1" t="n"/>
    </row>
    <row r="82">
      <c r="B82" t="inlineStr">
        <is>
          <t>Accrued Liabilities</t>
        </is>
      </c>
      <c r="X82" s="1" t="n">
        <v>11519</v>
      </c>
      <c r="Y82" s="1" t="n">
        <v>12791</v>
      </c>
      <c r="Z82" s="1" t="n">
        <v>13279</v>
      </c>
      <c r="AA82" s="1" t="n"/>
      <c r="AB82" s="1" t="n">
        <v>15256</v>
      </c>
      <c r="AC82" s="1" t="n"/>
      <c r="AD82" s="1" t="n"/>
      <c r="AE82" s="1" t="n"/>
      <c r="AF82" s="1" t="n"/>
      <c r="AG82" s="1" t="n"/>
      <c r="AH82" s="1" t="n"/>
    </row>
    <row r="83">
      <c r="B83" t="inlineStr">
        <is>
          <t>Deferred Rev (current)</t>
        </is>
      </c>
      <c r="X83" s="1" t="n">
        <v>3237</v>
      </c>
      <c r="Y83" s="1" t="n">
        <v>3756</v>
      </c>
      <c r="Z83" s="1" t="n">
        <v>3424</v>
      </c>
      <c r="AA83" s="1" t="n"/>
      <c r="AB83" s="1" t="n">
        <v>3427</v>
      </c>
      <c r="AC83" s="1" t="n"/>
      <c r="AD83" s="1" t="n"/>
      <c r="AE83" s="1" t="n"/>
      <c r="AF83" s="1" t="n"/>
      <c r="AG83" s="1" t="n"/>
      <c r="AH83" s="1" t="n"/>
    </row>
    <row r="84">
      <c r="B84" t="inlineStr">
        <is>
          <t>Debt + finance lease (current)</t>
        </is>
      </c>
      <c r="X84" s="1" t="n">
        <v>2040</v>
      </c>
      <c r="Y84" s="1" t="n">
        <v>1924</v>
      </c>
      <c r="Z84" s="1" t="n">
        <v>1640</v>
      </c>
      <c r="AA84" s="1" t="n"/>
      <c r="AB84" s="1" t="n">
        <v>1418</v>
      </c>
      <c r="AC84" s="1" t="n"/>
      <c r="AD84" s="1" t="n"/>
      <c r="AE84" s="1" t="n"/>
      <c r="AF84" s="1" t="n"/>
      <c r="AG84" s="1" t="n"/>
      <c r="AH84" s="1" t="n"/>
    </row>
    <row r="85">
      <c r="B85" t="inlineStr">
        <is>
          <t>Debt + finance lease (net of current)</t>
        </is>
      </c>
      <c r="X85" s="1" t="n">
        <v>5180</v>
      </c>
      <c r="Y85" s="1" t="n">
        <v>5778</v>
      </c>
      <c r="Z85" s="1" t="n">
        <v>6736</v>
      </c>
      <c r="AA85" s="1" t="n"/>
      <c r="AB85" s="1" t="n">
        <v>7924</v>
      </c>
      <c r="AC85" s="1" t="n"/>
      <c r="AD85" s="1" t="n"/>
      <c r="AE85" s="1" t="n"/>
      <c r="AF85" s="1" t="n"/>
      <c r="AG85" s="1" t="n"/>
      <c r="AH85" s="1" t="n"/>
    </row>
    <row r="86">
      <c r="B86" t="inlineStr">
        <is>
          <t>Deferred Rev (net of current)</t>
        </is>
      </c>
      <c r="X86" s="1" t="n">
        <v>3764</v>
      </c>
      <c r="Y86" s="1" t="n">
        <v>3746</v>
      </c>
      <c r="Z86" s="1" t="n">
        <v>3631</v>
      </c>
      <c r="AA86" s="1" t="n"/>
      <c r="AB86" s="1" t="n">
        <v>4073</v>
      </c>
      <c r="AC86" s="1" t="n"/>
      <c r="AD86" s="1" t="n"/>
      <c r="AE86" s="1" t="n"/>
      <c r="AF86" s="1" t="n"/>
      <c r="AG86" s="1" t="n"/>
      <c r="AH86" s="1" t="n"/>
    </row>
    <row r="87">
      <c r="B87" t="inlineStr">
        <is>
          <t>Other LT liabilities</t>
        </is>
      </c>
      <c r="X87" s="1" t="n">
        <v>11543</v>
      </c>
      <c r="Y87" s="1" t="n">
        <v>12205</v>
      </c>
      <c r="Z87" s="1" t="n">
        <v>12860</v>
      </c>
      <c r="AA87" s="1" t="n"/>
      <c r="AB87" s="1" t="n">
        <v>13583</v>
      </c>
      <c r="AC87" s="1" t="n"/>
      <c r="AD87" s="1" t="n"/>
      <c r="AE87" s="1" t="n"/>
      <c r="AF87" s="1" t="n"/>
      <c r="AG87" s="1" t="n"/>
      <c r="AH87" s="1" t="n"/>
    </row>
    <row r="88">
      <c r="B88" t="inlineStr">
        <is>
          <t>Liabilities</t>
        </is>
      </c>
      <c r="X88" s="1">
        <f>SUM(X81:X87)</f>
        <v/>
      </c>
      <c r="Y88" s="1">
        <f>SUM(Y81:Y87)</f>
        <v/>
      </c>
      <c r="Z88" s="1">
        <f>SUM(Z81:Z87)</f>
        <v/>
      </c>
      <c r="AA88" s="1">
        <f>SUM(AA81:AA87)</f>
        <v/>
      </c>
      <c r="AB88" s="1">
        <f>SUM(AB81:AB87)</f>
        <v/>
      </c>
      <c r="AC88" s="1" t="n"/>
      <c r="AD88" s="1" t="n"/>
      <c r="AE88" s="1" t="n"/>
      <c r="AF88" s="1" t="n"/>
      <c r="AG88" s="1" t="n"/>
      <c r="AH88" s="1" t="n"/>
    </row>
    <row r="89"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>
      <c r="B90" t="inlineStr">
        <is>
          <t>Redeemable NCI in subsidaries</t>
        </is>
      </c>
      <c r="X90" s="1" t="n"/>
      <c r="Y90" s="1" t="n"/>
      <c r="Z90" s="1" t="n">
        <v>58</v>
      </c>
      <c r="AA90" s="1" t="n"/>
      <c r="AB90" s="1" t="n">
        <v>54</v>
      </c>
      <c r="AC90" s="1" t="n"/>
      <c r="AD90" s="1" t="n"/>
      <c r="AE90" s="1" t="n"/>
      <c r="AF90" s="1" t="n"/>
      <c r="AG90" s="1" t="n"/>
      <c r="AH90" s="1" t="n"/>
    </row>
    <row r="91" customFormat="1" s="1"/>
    <row r="92">
      <c r="B92" t="inlineStr">
        <is>
          <t>SE</t>
        </is>
      </c>
      <c r="X92" s="1">
        <f>X79-X88-X90-X94</f>
        <v/>
      </c>
      <c r="Y92" s="1">
        <f>Y79-Y88-Y90-Y94</f>
        <v/>
      </c>
      <c r="Z92" s="1">
        <f>Z79-Z88-Z90-Z94</f>
        <v/>
      </c>
      <c r="AA92" s="1">
        <f>AA79-AA88-AA90-AA94</f>
        <v/>
      </c>
      <c r="AB92" s="1">
        <f>AB79-AB88-AB90-AB94</f>
        <v/>
      </c>
      <c r="AC92" s="1" t="n"/>
      <c r="AD92" s="1" t="n"/>
      <c r="AE92" s="1" t="n"/>
      <c r="AF92" s="1" t="n"/>
      <c r="AG92" s="1" t="n"/>
      <c r="AH92" s="1" t="n"/>
    </row>
    <row r="93">
      <c r="B93" t="inlineStr">
        <is>
          <t>S/O</t>
        </is>
      </c>
      <c r="Z93" t="n">
        <v>3751</v>
      </c>
      <c r="AA93" t="n">
        <v>3755</v>
      </c>
      <c r="AB93" t="n">
        <v>3949</v>
      </c>
    </row>
    <row r="94">
      <c r="B94" t="inlineStr">
        <is>
          <t>NCI</t>
        </is>
      </c>
      <c r="Z94" t="n">
        <v>670</v>
      </c>
      <c r="AB94" t="n">
        <v>607</v>
      </c>
    </row>
    <row r="96">
      <c r="Z96" s="1" t="n"/>
    </row>
    <row r="97"/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L2" r:id="rId9"/>
    <hyperlink xmlns:r="http://schemas.openxmlformats.org/officeDocument/2006/relationships" ref="M2" r:id="rId10"/>
    <hyperlink xmlns:r="http://schemas.openxmlformats.org/officeDocument/2006/relationships" ref="N2" r:id="rId11"/>
    <hyperlink xmlns:r="http://schemas.openxmlformats.org/officeDocument/2006/relationships" ref="O2" r:id="rId12"/>
    <hyperlink xmlns:r="http://schemas.openxmlformats.org/officeDocument/2006/relationships" ref="P2" r:id="rId13"/>
    <hyperlink xmlns:r="http://schemas.openxmlformats.org/officeDocument/2006/relationships" ref="U2" r:id="rId14"/>
    <hyperlink xmlns:r="http://schemas.openxmlformats.org/officeDocument/2006/relationships" ref="V2" r:id="rId15"/>
    <hyperlink xmlns:r="http://schemas.openxmlformats.org/officeDocument/2006/relationships" ref="W2" r:id="rId16"/>
    <hyperlink xmlns:r="http://schemas.openxmlformats.org/officeDocument/2006/relationships" ref="X2" r:id="rId17"/>
    <hyperlink xmlns:r="http://schemas.openxmlformats.org/officeDocument/2006/relationships" ref="Y2" r:id="rId18"/>
    <hyperlink xmlns:r="http://schemas.openxmlformats.org/officeDocument/2006/relationships" ref="Z2" r:id="rId19"/>
    <hyperlink xmlns:r="http://schemas.openxmlformats.org/officeDocument/2006/relationships" ref="AA2" r:id="rId20"/>
    <hyperlink xmlns:r="http://schemas.openxmlformats.org/officeDocument/2006/relationships" ref="AB2" r:id="rId21"/>
  </hyperlinks>
  <pageMargins left="0.7" right="0.7" top="0.75" bottom="0.75" header="0.3" footer="0.3"/>
  <legacyDrawing xmlns:r="http://schemas.openxmlformats.org/officeDocument/2006/relationships" r:id="anysvml"/>
  <drawing xmlns:r="http://schemas.openxmlformats.org/officeDocument/2006/relationships" r:id="rId2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2026-08-29T01:21:44Z</dcterms:created>
  <dcterms:modified xsi:type="dcterms:W3CDTF">2026-09-15T17:47:24Z</dcterms:modified>
  <cp:lastModifiedBy>Dillon Walton</cp:lastModifiedBy>
</cp:coreProperties>
</file>