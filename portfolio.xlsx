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defaultThemeVersion="202300"/>
  <mc:AlternateContent xmlns:mc="http://schemas.openxmlformats.org/markup-compatibility/2006">
    <mc:Choice Requires="x15">
      <x15ac:absPath xmlns:x15ac="http://schemas.microsoft.com/office/spreadsheetml/2010/11/ac" url="/Users/dillonwalton/Desktop/business/models/"/>
    </mc:Choice>
  </mc:AlternateContent>
  <xr:revisionPtr revIDLastSave="0" documentId="13_ncr:1_{C3309AB4-2F92-DB49-95B5-EA9EAFF102C0}" xr6:coauthVersionLast="47" xr6:coauthVersionMax="47" xr10:uidLastSave="{00000000-0000-0000-0000-000000000000}"/>
  <bookViews>
    <workbookView xWindow="0" yWindow="760" windowWidth="23080" windowHeight="16940" xr2:uid="{00000000-000D-0000-FFFF-FFFF00000000}"/>
  </bookViews>
  <sheets>
    <sheet name="Main"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67" i="1" l="1" a="1"/>
  <c r="F167" i="1" s="1"/>
  <c r="G167" i="1" a="1"/>
  <c r="G167" i="1"/>
  <c r="H167" i="1" a="1"/>
  <c r="H167" i="1" s="1"/>
  <c r="I167" i="1" s="1"/>
  <c r="H4" i="1" a="1"/>
  <c r="H4" i="1" s="1"/>
  <c r="H5" i="1" a="1"/>
  <c r="H5" i="1" s="1"/>
  <c r="H6" i="1" a="1"/>
  <c r="H6" i="1" s="1"/>
  <c r="H7" i="1" a="1"/>
  <c r="H7" i="1" s="1"/>
  <c r="H8" i="1" a="1"/>
  <c r="H8" i="1" s="1"/>
  <c r="H9" i="1" a="1"/>
  <c r="H9" i="1" s="1"/>
  <c r="H10" i="1" a="1"/>
  <c r="H10" i="1" s="1"/>
  <c r="H11" i="1" a="1"/>
  <c r="H11" i="1" s="1"/>
  <c r="H12" i="1" a="1"/>
  <c r="H12" i="1" s="1"/>
  <c r="H13" i="1" a="1"/>
  <c r="H13" i="1" s="1"/>
  <c r="H14" i="1" a="1"/>
  <c r="H14" i="1" s="1"/>
  <c r="H15" i="1" a="1"/>
  <c r="H15" i="1" s="1"/>
  <c r="H16" i="1" a="1"/>
  <c r="H16" i="1" s="1"/>
  <c r="H17" i="1" a="1"/>
  <c r="H17" i="1" s="1"/>
  <c r="H18" i="1" a="1"/>
  <c r="H18" i="1" s="1"/>
  <c r="H19" i="1" a="1"/>
  <c r="H19" i="1" s="1"/>
  <c r="H20" i="1" a="1"/>
  <c r="H20" i="1" s="1"/>
  <c r="H21" i="1" a="1"/>
  <c r="H21" i="1" s="1"/>
  <c r="H22" i="1" a="1"/>
  <c r="H22" i="1" s="1"/>
  <c r="H23" i="1" a="1"/>
  <c r="H23" i="1" s="1"/>
  <c r="H24" i="1" a="1"/>
  <c r="H24" i="1" s="1"/>
  <c r="H25" i="1" a="1"/>
  <c r="H25" i="1" s="1"/>
  <c r="H27" i="1" a="1"/>
  <c r="H27" i="1" s="1"/>
  <c r="H28" i="1" a="1"/>
  <c r="H28" i="1" s="1"/>
  <c r="H29" i="1" a="1"/>
  <c r="H29" i="1" s="1"/>
  <c r="H30" i="1" a="1"/>
  <c r="H30" i="1" s="1"/>
  <c r="H31" i="1" a="1"/>
  <c r="H31" i="1" s="1"/>
  <c r="H32" i="1" a="1"/>
  <c r="H32" i="1" s="1"/>
  <c r="H33" i="1" a="1"/>
  <c r="H33" i="1" s="1"/>
  <c r="H34" i="1" a="1"/>
  <c r="H34" i="1" s="1"/>
  <c r="H35" i="1" a="1"/>
  <c r="H35" i="1" s="1"/>
  <c r="H36" i="1" a="1"/>
  <c r="H36" i="1" s="1"/>
  <c r="H37" i="1" a="1"/>
  <c r="H37" i="1" s="1"/>
  <c r="H38" i="1" a="1"/>
  <c r="H38" i="1" s="1"/>
  <c r="H39" i="1" a="1"/>
  <c r="H39" i="1" s="1"/>
  <c r="H40" i="1" a="1"/>
  <c r="H40" i="1" s="1"/>
  <c r="H41" i="1" a="1"/>
  <c r="H41" i="1" s="1"/>
  <c r="H42" i="1" a="1"/>
  <c r="H42" i="1" s="1"/>
  <c r="H43" i="1" a="1"/>
  <c r="H43" i="1" s="1"/>
  <c r="H44" i="1" a="1"/>
  <c r="H44" i="1" s="1"/>
  <c r="H45" i="1" a="1"/>
  <c r="H45" i="1" s="1"/>
  <c r="H46" i="1" a="1"/>
  <c r="H46" i="1" s="1"/>
  <c r="H47" i="1" a="1"/>
  <c r="H47" i="1" s="1"/>
  <c r="H48" i="1" a="1"/>
  <c r="H48" i="1" s="1"/>
  <c r="H49" i="1" a="1"/>
  <c r="H49" i="1" s="1"/>
  <c r="H50" i="1" a="1"/>
  <c r="H50" i="1" s="1"/>
  <c r="H51" i="1" a="1"/>
  <c r="H51" i="1" s="1"/>
  <c r="H52" i="1" a="1"/>
  <c r="H52" i="1" s="1"/>
  <c r="H53" i="1" a="1"/>
  <c r="H53" i="1" s="1"/>
  <c r="H54" i="1" a="1"/>
  <c r="H54" i="1" s="1"/>
  <c r="H55" i="1" a="1"/>
  <c r="H55" i="1" s="1"/>
  <c r="H57" i="1" a="1"/>
  <c r="H57" i="1" s="1"/>
  <c r="H58" i="1" a="1"/>
  <c r="H58" i="1" s="1"/>
  <c r="H59" i="1" a="1"/>
  <c r="H59" i="1" s="1"/>
  <c r="H60" i="1" a="1"/>
  <c r="H60" i="1" s="1"/>
  <c r="H61" i="1" a="1"/>
  <c r="H61" i="1" s="1"/>
  <c r="H62" i="1" a="1"/>
  <c r="H62" i="1" s="1"/>
  <c r="H63" i="1" a="1"/>
  <c r="H63" i="1" s="1"/>
  <c r="H64" i="1" a="1"/>
  <c r="H64" i="1" s="1"/>
  <c r="H65" i="1" a="1"/>
  <c r="H65" i="1" s="1"/>
  <c r="H66" i="1" a="1"/>
  <c r="H66" i="1" s="1"/>
  <c r="H67" i="1" a="1"/>
  <c r="H67" i="1" s="1"/>
  <c r="H68" i="1" a="1"/>
  <c r="H68" i="1" s="1"/>
  <c r="H69" i="1" a="1"/>
  <c r="H69" i="1" s="1"/>
  <c r="H70" i="1" a="1"/>
  <c r="H70" i="1" s="1"/>
  <c r="H71" i="1" a="1"/>
  <c r="H71" i="1" s="1"/>
  <c r="H72" i="1" a="1"/>
  <c r="H72" i="1" s="1"/>
  <c r="H73" i="1" a="1"/>
  <c r="H73" i="1" s="1"/>
  <c r="H74" i="1" a="1"/>
  <c r="H74" i="1" s="1"/>
  <c r="H75" i="1" a="1"/>
  <c r="H75" i="1" s="1"/>
  <c r="H76" i="1" a="1"/>
  <c r="H76" i="1" s="1"/>
  <c r="H77" i="1" a="1"/>
  <c r="H77" i="1" s="1"/>
  <c r="H78" i="1" a="1"/>
  <c r="H78" i="1" s="1"/>
  <c r="H79" i="1" a="1"/>
  <c r="H79" i="1" s="1"/>
  <c r="H81" i="1" a="1"/>
  <c r="H81" i="1" s="1"/>
  <c r="H82" i="1" a="1"/>
  <c r="H82" i="1" s="1"/>
  <c r="H83" i="1" a="1"/>
  <c r="H83" i="1" s="1"/>
  <c r="H84" i="1" a="1"/>
  <c r="H84" i="1" s="1"/>
  <c r="H85" i="1" a="1"/>
  <c r="H85" i="1" s="1"/>
  <c r="H86" i="1" a="1"/>
  <c r="H86" i="1" s="1"/>
  <c r="H87" i="1" a="1"/>
  <c r="H87" i="1" s="1"/>
  <c r="H88" i="1" a="1"/>
  <c r="H88" i="1" s="1"/>
  <c r="H89" i="1" a="1"/>
  <c r="H89" i="1" s="1"/>
  <c r="H90" i="1" a="1"/>
  <c r="H90" i="1" s="1"/>
  <c r="H91" i="1" a="1"/>
  <c r="H91" i="1" s="1"/>
  <c r="H92" i="1" a="1"/>
  <c r="H92" i="1" s="1"/>
  <c r="H93" i="1" a="1"/>
  <c r="H93" i="1" s="1"/>
  <c r="H94" i="1" a="1"/>
  <c r="H94" i="1" s="1"/>
  <c r="H95" i="1" a="1"/>
  <c r="H95" i="1" s="1"/>
  <c r="H96" i="1" a="1"/>
  <c r="H96" i="1" s="1"/>
  <c r="H97" i="1" a="1"/>
  <c r="H97" i="1" s="1"/>
  <c r="H98" i="1" a="1"/>
  <c r="H98" i="1" s="1"/>
  <c r="H99" i="1" a="1"/>
  <c r="H99" i="1" s="1"/>
  <c r="H100" i="1" a="1"/>
  <c r="H100" i="1" s="1"/>
  <c r="H101" i="1" a="1"/>
  <c r="H101" i="1" s="1"/>
  <c r="H102" i="1" a="1"/>
  <c r="H102" i="1" s="1"/>
  <c r="H103" i="1" a="1"/>
  <c r="H103" i="1" s="1"/>
  <c r="H104" i="1" a="1"/>
  <c r="H104" i="1" s="1"/>
  <c r="H105" i="1" a="1"/>
  <c r="H105" i="1" s="1"/>
  <c r="H106" i="1" a="1"/>
  <c r="H106" i="1" s="1"/>
  <c r="H107" i="1" a="1"/>
  <c r="H107" i="1" s="1"/>
  <c r="H108" i="1" a="1"/>
  <c r="H108" i="1" s="1"/>
  <c r="H109" i="1" a="1"/>
  <c r="H109" i="1" s="1"/>
  <c r="H110" i="1" a="1"/>
  <c r="H110" i="1" s="1"/>
  <c r="H111" i="1" a="1"/>
  <c r="H111" i="1" s="1"/>
  <c r="H112" i="1" a="1"/>
  <c r="H112" i="1" s="1"/>
  <c r="H113" i="1" a="1"/>
  <c r="H113" i="1" s="1"/>
  <c r="H114" i="1" a="1"/>
  <c r="H114" i="1" s="1"/>
  <c r="H115" i="1" a="1"/>
  <c r="H115" i="1" s="1"/>
  <c r="H116" i="1" a="1"/>
  <c r="H116" i="1" s="1"/>
  <c r="H117" i="1" a="1"/>
  <c r="H117" i="1" s="1"/>
  <c r="H118" i="1" a="1"/>
  <c r="H118" i="1" s="1"/>
  <c r="H119" i="1" a="1"/>
  <c r="H119" i="1" s="1"/>
  <c r="H120" i="1" a="1"/>
  <c r="H120" i="1" s="1"/>
  <c r="H121" i="1" a="1"/>
  <c r="H121" i="1" s="1"/>
  <c r="H122" i="1" a="1"/>
  <c r="H122" i="1" s="1"/>
  <c r="H123" i="1" a="1"/>
  <c r="H123" i="1" s="1"/>
  <c r="H124" i="1" a="1"/>
  <c r="H124" i="1" s="1"/>
  <c r="H125" i="1" a="1"/>
  <c r="H125" i="1" s="1"/>
  <c r="H126" i="1" a="1"/>
  <c r="H126" i="1" s="1"/>
  <c r="H127" i="1" a="1"/>
  <c r="H127" i="1" s="1"/>
  <c r="H128" i="1" a="1"/>
  <c r="H128" i="1" s="1"/>
  <c r="H130" i="1" a="1"/>
  <c r="H130" i="1" s="1"/>
  <c r="H132" i="1" a="1"/>
  <c r="H132" i="1" s="1"/>
  <c r="H133" i="1" a="1"/>
  <c r="H133" i="1" s="1"/>
  <c r="H135" i="1" a="1"/>
  <c r="H135" i="1" s="1"/>
  <c r="H136" i="1" a="1"/>
  <c r="H136" i="1" s="1"/>
  <c r="H137" i="1" a="1"/>
  <c r="H137" i="1" s="1"/>
  <c r="H139" i="1" a="1"/>
  <c r="H139" i="1" s="1"/>
  <c r="H140" i="1" a="1"/>
  <c r="H140" i="1" s="1"/>
  <c r="H141" i="1" a="1"/>
  <c r="H141" i="1" s="1"/>
  <c r="H142" i="1" a="1"/>
  <c r="H142" i="1" s="1"/>
  <c r="H143" i="1" a="1"/>
  <c r="H143" i="1" s="1"/>
  <c r="H144" i="1" a="1"/>
  <c r="H144" i="1" s="1"/>
  <c r="H146" i="1" a="1"/>
  <c r="H146" i="1" s="1"/>
  <c r="H147" i="1" a="1"/>
  <c r="H147" i="1" s="1"/>
  <c r="H148" i="1" a="1"/>
  <c r="H148" i="1" s="1"/>
  <c r="H149" i="1" a="1"/>
  <c r="H149" i="1" s="1"/>
  <c r="H150" i="1" a="1"/>
  <c r="H150" i="1" s="1"/>
  <c r="H151" i="1" a="1"/>
  <c r="H151" i="1" s="1"/>
  <c r="H152" i="1" a="1"/>
  <c r="H152" i="1" s="1"/>
  <c r="H153" i="1" a="1"/>
  <c r="H153" i="1" s="1"/>
  <c r="H154" i="1" a="1"/>
  <c r="H154" i="1" s="1"/>
  <c r="H155" i="1" a="1"/>
  <c r="H155" i="1" s="1"/>
  <c r="H157" i="1" a="1"/>
  <c r="H157" i="1" s="1"/>
  <c r="H158" i="1" a="1"/>
  <c r="H158" i="1" s="1"/>
  <c r="H159" i="1" a="1"/>
  <c r="H159" i="1" s="1"/>
  <c r="H160" i="1" a="1"/>
  <c r="H160" i="1" s="1"/>
  <c r="H161" i="1" a="1"/>
  <c r="H161" i="1" s="1"/>
  <c r="H162" i="1" a="1"/>
  <c r="H162" i="1" s="1"/>
  <c r="H163" i="1" a="1"/>
  <c r="H163" i="1" s="1"/>
  <c r="H164" i="1" a="1"/>
  <c r="H164" i="1" s="1"/>
  <c r="H165" i="1" a="1"/>
  <c r="H165" i="1" s="1"/>
  <c r="H166" i="1" a="1"/>
  <c r="H166" i="1" s="1"/>
  <c r="H168" i="1" a="1"/>
  <c r="H168" i="1" s="1"/>
  <c r="H3" i="1" a="1"/>
  <c r="H3" i="1" s="1"/>
  <c r="G4" i="1" a="1"/>
  <c r="G4" i="1" s="1"/>
  <c r="I4" i="1" s="1"/>
  <c r="G5" i="1" a="1"/>
  <c r="G5" i="1" s="1"/>
  <c r="I5" i="1" s="1"/>
  <c r="G6" i="1" a="1"/>
  <c r="G6" i="1" s="1"/>
  <c r="I6" i="1" s="1"/>
  <c r="G7" i="1" a="1"/>
  <c r="G7" i="1" s="1"/>
  <c r="I7" i="1" s="1"/>
  <c r="G8" i="1" a="1"/>
  <c r="G8" i="1" s="1"/>
  <c r="I8" i="1" s="1"/>
  <c r="G9" i="1" a="1"/>
  <c r="G9" i="1" s="1"/>
  <c r="G10" i="1" a="1"/>
  <c r="G10" i="1" s="1"/>
  <c r="I10" i="1" s="1"/>
  <c r="G11" i="1" a="1"/>
  <c r="G11" i="1" s="1"/>
  <c r="I11" i="1" s="1"/>
  <c r="G12" i="1" a="1"/>
  <c r="G12" i="1" s="1"/>
  <c r="I12" i="1" s="1"/>
  <c r="G13" i="1" a="1"/>
  <c r="G13" i="1" s="1"/>
  <c r="I13" i="1" s="1"/>
  <c r="G14" i="1" a="1"/>
  <c r="G14" i="1" s="1"/>
  <c r="I14" i="1" s="1"/>
  <c r="G15" i="1" a="1"/>
  <c r="G15" i="1" s="1"/>
  <c r="I15" i="1" s="1"/>
  <c r="G16" i="1" a="1"/>
  <c r="G16" i="1" s="1"/>
  <c r="I16" i="1" s="1"/>
  <c r="G17" i="1" a="1"/>
  <c r="G17" i="1" s="1"/>
  <c r="I17" i="1" s="1"/>
  <c r="G18" i="1" a="1"/>
  <c r="G18" i="1" s="1"/>
  <c r="I18" i="1" s="1"/>
  <c r="G19" i="1" a="1"/>
  <c r="G19" i="1" s="1"/>
  <c r="G20" i="1" a="1"/>
  <c r="G20" i="1" s="1"/>
  <c r="I20" i="1" s="1"/>
  <c r="G21" i="1" a="1"/>
  <c r="G21" i="1" s="1"/>
  <c r="I21" i="1" s="1"/>
  <c r="G22" i="1" a="1"/>
  <c r="G22" i="1" s="1"/>
  <c r="I22" i="1" s="1"/>
  <c r="G23" i="1" a="1"/>
  <c r="G23" i="1" s="1"/>
  <c r="I23" i="1" s="1"/>
  <c r="G24" i="1" a="1"/>
  <c r="G24" i="1" s="1"/>
  <c r="I24" i="1" s="1"/>
  <c r="G25" i="1" a="1"/>
  <c r="G25" i="1" s="1"/>
  <c r="I25" i="1" s="1"/>
  <c r="G26" i="1" a="1"/>
  <c r="G26" i="1" s="1"/>
  <c r="G27" i="1" a="1"/>
  <c r="G27" i="1" s="1"/>
  <c r="I27" i="1" s="1"/>
  <c r="G28" i="1" a="1"/>
  <c r="G28" i="1" s="1"/>
  <c r="G29" i="1" a="1"/>
  <c r="G29" i="1" s="1"/>
  <c r="G30" i="1" a="1"/>
  <c r="G30" i="1" s="1"/>
  <c r="I30" i="1" s="1"/>
  <c r="G31" i="1" a="1"/>
  <c r="G31" i="1" s="1"/>
  <c r="I31" i="1" s="1"/>
  <c r="G32" i="1" a="1"/>
  <c r="G32" i="1" s="1"/>
  <c r="I32" i="1" s="1"/>
  <c r="G33" i="1" a="1"/>
  <c r="G33" i="1" s="1"/>
  <c r="I33" i="1" s="1"/>
  <c r="G34" i="1" a="1"/>
  <c r="G34" i="1" s="1"/>
  <c r="I34" i="1" s="1"/>
  <c r="G35" i="1" a="1"/>
  <c r="G35" i="1" s="1"/>
  <c r="I35" i="1" s="1"/>
  <c r="G36" i="1" a="1"/>
  <c r="G36" i="1" s="1"/>
  <c r="I36" i="1" s="1"/>
  <c r="G37" i="1" a="1"/>
  <c r="G37" i="1" s="1"/>
  <c r="I37" i="1" s="1"/>
  <c r="G38" i="1" a="1"/>
  <c r="G38" i="1" s="1"/>
  <c r="G39" i="1" a="1"/>
  <c r="G39" i="1" s="1"/>
  <c r="I39" i="1" s="1"/>
  <c r="G40" i="1" a="1"/>
  <c r="G40" i="1" s="1"/>
  <c r="I40" i="1" s="1"/>
  <c r="G41" i="1" a="1"/>
  <c r="G41" i="1" s="1"/>
  <c r="I41" i="1" s="1"/>
  <c r="G42" i="1" a="1"/>
  <c r="G42" i="1" s="1"/>
  <c r="I42" i="1" s="1"/>
  <c r="G43" i="1" a="1"/>
  <c r="G43" i="1" s="1"/>
  <c r="I43" i="1" s="1"/>
  <c r="G44" i="1" a="1"/>
  <c r="G44" i="1" s="1"/>
  <c r="I44" i="1" s="1"/>
  <c r="G45" i="1" a="1"/>
  <c r="G45" i="1" s="1"/>
  <c r="I45" i="1" s="1"/>
  <c r="G46" i="1" a="1"/>
  <c r="G46" i="1" s="1"/>
  <c r="I46" i="1" s="1"/>
  <c r="G47" i="1" a="1"/>
  <c r="G47" i="1" s="1"/>
  <c r="I47" i="1" s="1"/>
  <c r="G48" i="1" a="1"/>
  <c r="G48" i="1" s="1"/>
  <c r="I48" i="1" s="1"/>
  <c r="G49" i="1" a="1"/>
  <c r="G49" i="1" s="1"/>
  <c r="I49" i="1" s="1"/>
  <c r="G50" i="1" a="1"/>
  <c r="G50" i="1" s="1"/>
  <c r="G51" i="1" a="1"/>
  <c r="G51" i="1" s="1"/>
  <c r="I51" i="1" s="1"/>
  <c r="G52" i="1" a="1"/>
  <c r="G52" i="1" s="1"/>
  <c r="I52" i="1" s="1"/>
  <c r="G53" i="1" a="1"/>
  <c r="G53" i="1" s="1"/>
  <c r="I53" i="1" s="1"/>
  <c r="G54" i="1" a="1"/>
  <c r="G54" i="1" s="1"/>
  <c r="I54" i="1" s="1"/>
  <c r="G55" i="1" a="1"/>
  <c r="G55" i="1" s="1"/>
  <c r="I55" i="1" s="1"/>
  <c r="G56" i="1" a="1"/>
  <c r="G56" i="1" s="1"/>
  <c r="G57" i="1" a="1"/>
  <c r="G57" i="1" s="1"/>
  <c r="I57" i="1" s="1"/>
  <c r="G58" i="1" a="1"/>
  <c r="G58" i="1" s="1"/>
  <c r="I58" i="1" s="1"/>
  <c r="G59" i="1" a="1"/>
  <c r="G59" i="1" s="1"/>
  <c r="G60" i="1" a="1"/>
  <c r="G60" i="1" s="1"/>
  <c r="I60" i="1" s="1"/>
  <c r="G61" i="1" a="1"/>
  <c r="G61" i="1" s="1"/>
  <c r="I61" i="1" s="1"/>
  <c r="G62" i="1" a="1"/>
  <c r="G62" i="1" s="1"/>
  <c r="I62" i="1" s="1"/>
  <c r="G63" i="1" a="1"/>
  <c r="G63" i="1" s="1"/>
  <c r="I63" i="1" s="1"/>
  <c r="G64" i="1" a="1"/>
  <c r="G64" i="1" s="1"/>
  <c r="I64" i="1" s="1"/>
  <c r="G65" i="1" a="1"/>
  <c r="G65" i="1" s="1"/>
  <c r="I65" i="1" s="1"/>
  <c r="G66" i="1" a="1"/>
  <c r="G66" i="1" s="1"/>
  <c r="I66" i="1" s="1"/>
  <c r="G67" i="1" a="1"/>
  <c r="G67" i="1" s="1"/>
  <c r="I67" i="1" s="1"/>
  <c r="G68" i="1" a="1"/>
  <c r="G68" i="1" s="1"/>
  <c r="I68" i="1" s="1"/>
  <c r="G69" i="1" a="1"/>
  <c r="G69" i="1" s="1"/>
  <c r="G70" i="1" a="1"/>
  <c r="G70" i="1" s="1"/>
  <c r="I70" i="1" s="1"/>
  <c r="G71" i="1" a="1"/>
  <c r="G71" i="1" s="1"/>
  <c r="I71" i="1" s="1"/>
  <c r="G72" i="1" a="1"/>
  <c r="G72" i="1" s="1"/>
  <c r="I72" i="1" s="1"/>
  <c r="G73" i="1" a="1"/>
  <c r="G73" i="1" s="1"/>
  <c r="I73" i="1" s="1"/>
  <c r="G74" i="1" a="1"/>
  <c r="G74" i="1" s="1"/>
  <c r="I74" i="1" s="1"/>
  <c r="G75" i="1" a="1"/>
  <c r="G75" i="1" s="1"/>
  <c r="I75" i="1" s="1"/>
  <c r="G76" i="1" a="1"/>
  <c r="G76" i="1" s="1"/>
  <c r="I76" i="1" s="1"/>
  <c r="G77" i="1" a="1"/>
  <c r="G77" i="1" s="1"/>
  <c r="I77" i="1" s="1"/>
  <c r="G78" i="1" a="1"/>
  <c r="G78" i="1" s="1"/>
  <c r="I78" i="1" s="1"/>
  <c r="G79" i="1" a="1"/>
  <c r="G79" i="1" s="1"/>
  <c r="G81" i="1" a="1"/>
  <c r="G81" i="1" s="1"/>
  <c r="I81" i="1" s="1"/>
  <c r="G82" i="1" a="1"/>
  <c r="G82" i="1" s="1"/>
  <c r="I82" i="1" s="1"/>
  <c r="G83" i="1" a="1"/>
  <c r="G83" i="1" s="1"/>
  <c r="I83" i="1" s="1"/>
  <c r="G84" i="1" a="1"/>
  <c r="G84" i="1" s="1"/>
  <c r="I84" i="1" s="1"/>
  <c r="G85" i="1" a="1"/>
  <c r="G85" i="1" s="1"/>
  <c r="I85" i="1" s="1"/>
  <c r="G86" i="1" a="1"/>
  <c r="G86" i="1" s="1"/>
  <c r="I86" i="1" s="1"/>
  <c r="G87" i="1" a="1"/>
  <c r="G87" i="1" s="1"/>
  <c r="I87" i="1" s="1"/>
  <c r="G88" i="1" a="1"/>
  <c r="G88" i="1" s="1"/>
  <c r="I88" i="1" s="1"/>
  <c r="G89" i="1" a="1"/>
  <c r="G89" i="1" s="1"/>
  <c r="I89" i="1" s="1"/>
  <c r="G90" i="1" a="1"/>
  <c r="G90" i="1" s="1"/>
  <c r="G91" i="1" a="1"/>
  <c r="G91" i="1" s="1"/>
  <c r="I91" i="1" s="1"/>
  <c r="G92" i="1" a="1"/>
  <c r="G92" i="1" s="1"/>
  <c r="I92" i="1" s="1"/>
  <c r="G93" i="1" a="1"/>
  <c r="G93" i="1" s="1"/>
  <c r="I93" i="1" s="1"/>
  <c r="G94" i="1" a="1"/>
  <c r="G94" i="1" s="1"/>
  <c r="I94" i="1" s="1"/>
  <c r="G95" i="1" a="1"/>
  <c r="G95" i="1" s="1"/>
  <c r="I95" i="1" s="1"/>
  <c r="G96" i="1" a="1"/>
  <c r="G96" i="1" s="1"/>
  <c r="I96" i="1" s="1"/>
  <c r="G97" i="1" a="1"/>
  <c r="G97" i="1" s="1"/>
  <c r="I97" i="1" s="1"/>
  <c r="G98" i="1" a="1"/>
  <c r="G98" i="1" s="1"/>
  <c r="I98" i="1" s="1"/>
  <c r="G99" i="1" a="1"/>
  <c r="G99" i="1" s="1"/>
  <c r="I99" i="1" s="1"/>
  <c r="G100" i="1" a="1"/>
  <c r="G100" i="1" s="1"/>
  <c r="G101" i="1" a="1"/>
  <c r="G101" i="1" s="1"/>
  <c r="I101" i="1" s="1"/>
  <c r="G102" i="1" a="1"/>
  <c r="G102" i="1" s="1"/>
  <c r="I102" i="1" s="1"/>
  <c r="G103" i="1" a="1"/>
  <c r="G103" i="1" s="1"/>
  <c r="I103" i="1" s="1"/>
  <c r="G104" i="1" a="1"/>
  <c r="G104" i="1" s="1"/>
  <c r="I104" i="1" s="1"/>
  <c r="G105" i="1" a="1"/>
  <c r="G105" i="1" s="1"/>
  <c r="I105" i="1" s="1"/>
  <c r="G106" i="1" a="1"/>
  <c r="G106" i="1" s="1"/>
  <c r="I106" i="1" s="1"/>
  <c r="G107" i="1" a="1"/>
  <c r="G107" i="1" s="1"/>
  <c r="I107" i="1" s="1"/>
  <c r="G108" i="1" a="1"/>
  <c r="G108" i="1" s="1"/>
  <c r="I108" i="1" s="1"/>
  <c r="G109" i="1" a="1"/>
  <c r="G109" i="1" s="1"/>
  <c r="I109" i="1" s="1"/>
  <c r="G110" i="1" a="1"/>
  <c r="G110" i="1" s="1"/>
  <c r="G111" i="1" a="1"/>
  <c r="G111" i="1" s="1"/>
  <c r="I111" i="1" s="1"/>
  <c r="G112" i="1" a="1"/>
  <c r="G112" i="1" s="1"/>
  <c r="I112" i="1" s="1"/>
  <c r="G113" i="1" a="1"/>
  <c r="G113" i="1" s="1"/>
  <c r="I113" i="1" s="1"/>
  <c r="G114" i="1" a="1"/>
  <c r="G114" i="1" s="1"/>
  <c r="I114" i="1" s="1"/>
  <c r="G115" i="1" a="1"/>
  <c r="G115" i="1" s="1"/>
  <c r="I115" i="1" s="1"/>
  <c r="G116" i="1" a="1"/>
  <c r="G116" i="1" s="1"/>
  <c r="I116" i="1" s="1"/>
  <c r="G117" i="1" a="1"/>
  <c r="G117" i="1" s="1"/>
  <c r="I117" i="1" s="1"/>
  <c r="G118" i="1" a="1"/>
  <c r="G118" i="1" s="1"/>
  <c r="I118" i="1" s="1"/>
  <c r="G119" i="1" a="1"/>
  <c r="G119" i="1" s="1"/>
  <c r="I119" i="1" s="1"/>
  <c r="G120" i="1" a="1"/>
  <c r="G120" i="1" s="1"/>
  <c r="G121" i="1" a="1"/>
  <c r="G121" i="1" s="1"/>
  <c r="I121" i="1" s="1"/>
  <c r="G122" i="1" a="1"/>
  <c r="G122" i="1" s="1"/>
  <c r="I122" i="1" s="1"/>
  <c r="G123" i="1" a="1"/>
  <c r="G123" i="1" s="1"/>
  <c r="I123" i="1" s="1"/>
  <c r="G124" i="1" a="1"/>
  <c r="G124" i="1" s="1"/>
  <c r="I124" i="1" s="1"/>
  <c r="G125" i="1" a="1"/>
  <c r="G125" i="1" s="1"/>
  <c r="I125" i="1" s="1"/>
  <c r="G126" i="1" a="1"/>
  <c r="G126" i="1" s="1"/>
  <c r="I126" i="1" s="1"/>
  <c r="G127" i="1" a="1"/>
  <c r="G127" i="1" s="1"/>
  <c r="I127" i="1" s="1"/>
  <c r="G128" i="1" a="1"/>
  <c r="G128" i="1" s="1"/>
  <c r="I128" i="1" s="1"/>
  <c r="G129" i="1" a="1"/>
  <c r="G129" i="1" s="1"/>
  <c r="G130" i="1" a="1"/>
  <c r="G130" i="1" s="1"/>
  <c r="I130" i="1" s="1"/>
  <c r="G131" i="1" a="1"/>
  <c r="G131" i="1" s="1"/>
  <c r="G132" i="1" a="1"/>
  <c r="G132" i="1" s="1"/>
  <c r="I132" i="1" s="1"/>
  <c r="G133" i="1" a="1"/>
  <c r="G133" i="1" s="1"/>
  <c r="I133" i="1" s="1"/>
  <c r="G135" i="1" a="1"/>
  <c r="G135" i="1" s="1"/>
  <c r="I135" i="1" s="1"/>
  <c r="G136" i="1" a="1"/>
  <c r="G136" i="1" s="1"/>
  <c r="I136" i="1" s="1"/>
  <c r="G137" i="1" a="1"/>
  <c r="G137" i="1" s="1"/>
  <c r="I137" i="1" s="1"/>
  <c r="G138" i="1" a="1"/>
  <c r="G138" i="1" s="1"/>
  <c r="G139" i="1" a="1"/>
  <c r="G139" i="1" s="1"/>
  <c r="I139" i="1" s="1"/>
  <c r="G140" i="1" a="1"/>
  <c r="G140" i="1" s="1"/>
  <c r="I140" i="1" s="1"/>
  <c r="G141" i="1" a="1"/>
  <c r="G141" i="1" s="1"/>
  <c r="I141" i="1" s="1"/>
  <c r="G142" i="1" a="1"/>
  <c r="G142" i="1" s="1"/>
  <c r="I142" i="1" s="1"/>
  <c r="G143" i="1" a="1"/>
  <c r="G143" i="1" s="1"/>
  <c r="I143" i="1" s="1"/>
  <c r="G144" i="1" a="1"/>
  <c r="G144" i="1" s="1"/>
  <c r="I144" i="1" s="1"/>
  <c r="G146" i="1" a="1"/>
  <c r="G146" i="1" s="1"/>
  <c r="I146" i="1" s="1"/>
  <c r="G147" i="1" a="1"/>
  <c r="G147" i="1" s="1"/>
  <c r="I147" i="1" s="1"/>
  <c r="G148" i="1" a="1"/>
  <c r="G148" i="1" s="1"/>
  <c r="I148" i="1" s="1"/>
  <c r="G149" i="1" a="1"/>
  <c r="G149" i="1" s="1"/>
  <c r="I149" i="1" s="1"/>
  <c r="G150" i="1" a="1"/>
  <c r="G150" i="1" s="1"/>
  <c r="I150" i="1" s="1"/>
  <c r="G151" i="1" a="1"/>
  <c r="G151" i="1" s="1"/>
  <c r="I151" i="1" s="1"/>
  <c r="G152" i="1" a="1"/>
  <c r="G152" i="1" s="1"/>
  <c r="I152" i="1" s="1"/>
  <c r="G153" i="1" a="1"/>
  <c r="G153" i="1" s="1"/>
  <c r="I153" i="1" s="1"/>
  <c r="G154" i="1" a="1"/>
  <c r="G154" i="1" s="1"/>
  <c r="I154" i="1" s="1"/>
  <c r="G155" i="1" a="1"/>
  <c r="G155" i="1" s="1"/>
  <c r="I155" i="1" s="1"/>
  <c r="G156" i="1" a="1"/>
  <c r="G156" i="1" s="1"/>
  <c r="G157" i="1" a="1"/>
  <c r="G157" i="1" s="1"/>
  <c r="I157" i="1" s="1"/>
  <c r="G158" i="1" a="1"/>
  <c r="G158" i="1" s="1"/>
  <c r="I158" i="1" s="1"/>
  <c r="G159" i="1" a="1"/>
  <c r="G159" i="1" s="1"/>
  <c r="I159" i="1" s="1"/>
  <c r="G160" i="1" a="1"/>
  <c r="G160" i="1" s="1"/>
  <c r="I160" i="1" s="1"/>
  <c r="G161" i="1" a="1"/>
  <c r="G161" i="1" s="1"/>
  <c r="I161" i="1" s="1"/>
  <c r="G162" i="1" a="1"/>
  <c r="G162" i="1" s="1"/>
  <c r="I162" i="1" s="1"/>
  <c r="G163" i="1" a="1"/>
  <c r="G163" i="1" s="1"/>
  <c r="I163" i="1" s="1"/>
  <c r="G164" i="1" a="1"/>
  <c r="G164" i="1" s="1"/>
  <c r="I164" i="1" s="1"/>
  <c r="G165" i="1" a="1"/>
  <c r="G165" i="1" s="1"/>
  <c r="G166" i="1" a="1"/>
  <c r="G166" i="1" s="1"/>
  <c r="I166" i="1" s="1"/>
  <c r="G168" i="1" a="1"/>
  <c r="G168" i="1" s="1"/>
  <c r="I168" i="1" s="1"/>
  <c r="F168" i="1" a="1"/>
  <c r="F168" i="1" s="1"/>
  <c r="F166" i="1" a="1"/>
  <c r="F166" i="1" s="1"/>
  <c r="F165" i="1" a="1"/>
  <c r="F165" i="1" s="1"/>
  <c r="F164" i="1" a="1"/>
  <c r="F164" i="1" s="1"/>
  <c r="F163" i="1" a="1"/>
  <c r="F163" i="1" s="1"/>
  <c r="F162" i="1" a="1"/>
  <c r="F162" i="1" s="1"/>
  <c r="F161" i="1" a="1"/>
  <c r="F161" i="1" s="1"/>
  <c r="F160" i="1" a="1"/>
  <c r="F160" i="1" s="1"/>
  <c r="F159" i="1" a="1"/>
  <c r="F159" i="1" s="1"/>
  <c r="F158" i="1" a="1"/>
  <c r="F158" i="1" s="1"/>
  <c r="F157" i="1" a="1"/>
  <c r="F157" i="1" s="1"/>
  <c r="F156" i="1" a="1"/>
  <c r="F156" i="1" s="1"/>
  <c r="F155" i="1" a="1"/>
  <c r="F155" i="1" s="1"/>
  <c r="F154" i="1" a="1"/>
  <c r="F154" i="1" s="1"/>
  <c r="F153" i="1" a="1"/>
  <c r="F153" i="1" s="1"/>
  <c r="F152" i="1" a="1"/>
  <c r="F152" i="1" s="1"/>
  <c r="F151" i="1" a="1"/>
  <c r="F151" i="1" s="1"/>
  <c r="F150" i="1" a="1"/>
  <c r="F150" i="1" s="1"/>
  <c r="F149" i="1" a="1"/>
  <c r="F149" i="1" s="1"/>
  <c r="F148" i="1" a="1"/>
  <c r="F148" i="1" s="1"/>
  <c r="F147" i="1" a="1"/>
  <c r="F147" i="1" s="1"/>
  <c r="F146" i="1" a="1"/>
  <c r="F146" i="1" s="1"/>
  <c r="F144" i="1" a="1"/>
  <c r="F144" i="1" s="1"/>
  <c r="F143" i="1" a="1"/>
  <c r="F143" i="1" s="1"/>
  <c r="F142" i="1" a="1"/>
  <c r="F142" i="1" s="1"/>
  <c r="F141" i="1" a="1"/>
  <c r="F141" i="1" s="1"/>
  <c r="F140" i="1" a="1"/>
  <c r="F140" i="1" s="1"/>
  <c r="F139" i="1" a="1"/>
  <c r="F139" i="1" s="1"/>
  <c r="F138" i="1" a="1"/>
  <c r="F138" i="1" s="1"/>
  <c r="F137" i="1" a="1"/>
  <c r="F137" i="1" s="1"/>
  <c r="F136" i="1" a="1"/>
  <c r="F136" i="1" s="1"/>
  <c r="F135" i="1" a="1"/>
  <c r="F135" i="1" s="1"/>
  <c r="F134" i="1" a="1"/>
  <c r="F134" i="1" s="1"/>
  <c r="F133" i="1" a="1"/>
  <c r="F133" i="1" s="1"/>
  <c r="F132" i="1" a="1"/>
  <c r="F132" i="1" s="1"/>
  <c r="F131" i="1" a="1"/>
  <c r="F131" i="1" s="1"/>
  <c r="F130" i="1" a="1"/>
  <c r="F130" i="1" s="1"/>
  <c r="F129" i="1" a="1"/>
  <c r="F129" i="1" s="1"/>
  <c r="F128" i="1" a="1"/>
  <c r="F128" i="1" s="1"/>
  <c r="F127" i="1" a="1"/>
  <c r="F127" i="1" s="1"/>
  <c r="F126" i="1" a="1"/>
  <c r="F126" i="1" s="1"/>
  <c r="F125" i="1" a="1"/>
  <c r="F125" i="1" s="1"/>
  <c r="F124" i="1" a="1"/>
  <c r="F124" i="1" s="1"/>
  <c r="F123" i="1" a="1"/>
  <c r="F123" i="1" s="1"/>
  <c r="F122" i="1" a="1"/>
  <c r="F122" i="1" s="1"/>
  <c r="F121" i="1" a="1"/>
  <c r="F121" i="1" s="1"/>
  <c r="F120" i="1" a="1"/>
  <c r="F120" i="1" s="1"/>
  <c r="F119" i="1" a="1"/>
  <c r="F119" i="1" s="1"/>
  <c r="F118" i="1" a="1"/>
  <c r="F118" i="1" s="1"/>
  <c r="F117" i="1" a="1"/>
  <c r="F117" i="1" s="1"/>
  <c r="F116" i="1" a="1"/>
  <c r="F116" i="1" s="1"/>
  <c r="F115" i="1" a="1"/>
  <c r="F115" i="1" s="1"/>
  <c r="F114" i="1" a="1"/>
  <c r="F114" i="1" s="1"/>
  <c r="F113" i="1" a="1"/>
  <c r="F113" i="1" s="1"/>
  <c r="F112" i="1" a="1"/>
  <c r="F112" i="1" s="1"/>
  <c r="F111" i="1" a="1"/>
  <c r="F111" i="1" s="1"/>
  <c r="F110" i="1" a="1"/>
  <c r="F110" i="1" s="1"/>
  <c r="F109" i="1" a="1"/>
  <c r="F109" i="1" s="1"/>
  <c r="F108" i="1" a="1"/>
  <c r="F108" i="1" s="1"/>
  <c r="F107" i="1" a="1"/>
  <c r="F107" i="1" s="1"/>
  <c r="F106" i="1" a="1"/>
  <c r="F106" i="1" s="1"/>
  <c r="F105" i="1" a="1"/>
  <c r="F105" i="1" s="1"/>
  <c r="F104" i="1" a="1"/>
  <c r="F104" i="1" s="1"/>
  <c r="F103" i="1" a="1"/>
  <c r="F103" i="1" s="1"/>
  <c r="F102" i="1" a="1"/>
  <c r="F102" i="1" s="1"/>
  <c r="F101" i="1" a="1"/>
  <c r="F101" i="1" s="1"/>
  <c r="F100" i="1" a="1"/>
  <c r="F100" i="1" s="1"/>
  <c r="F99" i="1" a="1"/>
  <c r="F99" i="1" s="1"/>
  <c r="F98" i="1" a="1"/>
  <c r="F98" i="1" s="1"/>
  <c r="F97" i="1" a="1"/>
  <c r="F97" i="1" s="1"/>
  <c r="F96" i="1" a="1"/>
  <c r="F96" i="1" s="1"/>
  <c r="F95" i="1" a="1"/>
  <c r="F95" i="1" s="1"/>
  <c r="F94" i="1" a="1"/>
  <c r="F94" i="1" s="1"/>
  <c r="F93" i="1" a="1"/>
  <c r="F93" i="1" s="1"/>
  <c r="F92" i="1" a="1"/>
  <c r="F92" i="1" s="1"/>
  <c r="F91" i="1" a="1"/>
  <c r="F91" i="1" s="1"/>
  <c r="F90" i="1" a="1"/>
  <c r="F90" i="1" s="1"/>
  <c r="F89" i="1" a="1"/>
  <c r="F89" i="1" s="1"/>
  <c r="F88" i="1" a="1"/>
  <c r="F88" i="1" s="1"/>
  <c r="F87" i="1" a="1"/>
  <c r="F87" i="1" s="1"/>
  <c r="F86" i="1" a="1"/>
  <c r="F86" i="1" s="1"/>
  <c r="F85" i="1" a="1"/>
  <c r="F85" i="1" s="1"/>
  <c r="F84" i="1" a="1"/>
  <c r="F84" i="1" s="1"/>
  <c r="F83" i="1" a="1"/>
  <c r="F83" i="1" s="1"/>
  <c r="F82" i="1" a="1"/>
  <c r="F82" i="1" s="1"/>
  <c r="F81" i="1" a="1"/>
  <c r="F81" i="1" s="1"/>
  <c r="F80" i="1" a="1"/>
  <c r="F80" i="1" s="1"/>
  <c r="F79" i="1" a="1"/>
  <c r="F79" i="1" s="1"/>
  <c r="F78" i="1" a="1"/>
  <c r="F78" i="1" s="1"/>
  <c r="F77" i="1" a="1"/>
  <c r="F77" i="1" s="1"/>
  <c r="F76" i="1" a="1"/>
  <c r="F76" i="1" s="1"/>
  <c r="F75" i="1" a="1"/>
  <c r="F75" i="1" s="1"/>
  <c r="F74" i="1" a="1"/>
  <c r="F74" i="1" s="1"/>
  <c r="F73" i="1" a="1"/>
  <c r="F73" i="1" s="1"/>
  <c r="F72" i="1" a="1"/>
  <c r="F72" i="1" s="1"/>
  <c r="F71" i="1" a="1"/>
  <c r="F71" i="1" s="1"/>
  <c r="F70" i="1" a="1"/>
  <c r="F70" i="1" s="1"/>
  <c r="F69" i="1" a="1"/>
  <c r="F69" i="1" s="1"/>
  <c r="F68" i="1" a="1"/>
  <c r="F68" i="1" s="1"/>
  <c r="F67" i="1" a="1"/>
  <c r="F67" i="1" s="1"/>
  <c r="F66" i="1" a="1"/>
  <c r="F66" i="1" s="1"/>
  <c r="F65" i="1" a="1"/>
  <c r="F65" i="1" s="1"/>
  <c r="F64" i="1" a="1"/>
  <c r="F64" i="1" s="1"/>
  <c r="F63" i="1" a="1"/>
  <c r="F63" i="1" s="1"/>
  <c r="F62" i="1" a="1"/>
  <c r="F62" i="1" s="1"/>
  <c r="F61" i="1" a="1"/>
  <c r="F61" i="1" s="1"/>
  <c r="F60" i="1" a="1"/>
  <c r="F60" i="1" s="1"/>
  <c r="F59" i="1" a="1"/>
  <c r="F59" i="1" s="1"/>
  <c r="F58" i="1" a="1"/>
  <c r="F58" i="1" s="1"/>
  <c r="F57" i="1" a="1"/>
  <c r="F57" i="1" s="1"/>
  <c r="F56" i="1" a="1"/>
  <c r="F56" i="1" s="1"/>
  <c r="F55" i="1" a="1"/>
  <c r="F55" i="1" s="1"/>
  <c r="F54" i="1" a="1"/>
  <c r="F54" i="1" s="1"/>
  <c r="F53" i="1" a="1"/>
  <c r="F53" i="1" s="1"/>
  <c r="F52" i="1" a="1"/>
  <c r="F52" i="1" s="1"/>
  <c r="F51" i="1" a="1"/>
  <c r="F51" i="1" s="1"/>
  <c r="F50" i="1" a="1"/>
  <c r="F50" i="1" s="1"/>
  <c r="F49" i="1" a="1"/>
  <c r="F49" i="1" s="1"/>
  <c r="F48" i="1" a="1"/>
  <c r="F48" i="1" s="1"/>
  <c r="F47" i="1" a="1"/>
  <c r="F47" i="1" s="1"/>
  <c r="F46" i="1" a="1"/>
  <c r="F46" i="1" s="1"/>
  <c r="F45" i="1" a="1"/>
  <c r="F45" i="1" s="1"/>
  <c r="F44" i="1" a="1"/>
  <c r="F44" i="1" s="1"/>
  <c r="F43" i="1" a="1"/>
  <c r="F43" i="1" s="1"/>
  <c r="F42" i="1" a="1"/>
  <c r="F42" i="1" s="1"/>
  <c r="F41" i="1" a="1"/>
  <c r="F41" i="1" s="1"/>
  <c r="F40" i="1" a="1"/>
  <c r="F40" i="1" s="1"/>
  <c r="F39" i="1" a="1"/>
  <c r="F39" i="1" s="1"/>
  <c r="F38" i="1" a="1"/>
  <c r="F38" i="1" s="1"/>
  <c r="F37" i="1" a="1"/>
  <c r="F37" i="1" s="1"/>
  <c r="F36" i="1" a="1"/>
  <c r="F36" i="1" s="1"/>
  <c r="F35" i="1" a="1"/>
  <c r="F35" i="1" s="1"/>
  <c r="F34" i="1" a="1"/>
  <c r="F34" i="1" s="1"/>
  <c r="F33" i="1" a="1"/>
  <c r="F33" i="1" s="1"/>
  <c r="F32" i="1" a="1"/>
  <c r="F32" i="1" s="1"/>
  <c r="F31" i="1" a="1"/>
  <c r="F31" i="1" s="1"/>
  <c r="F30" i="1" a="1"/>
  <c r="F30" i="1" s="1"/>
  <c r="F29" i="1" a="1"/>
  <c r="F29" i="1" s="1"/>
  <c r="F28" i="1" a="1"/>
  <c r="F28" i="1" s="1"/>
  <c r="F27" i="1" a="1"/>
  <c r="F27" i="1" s="1"/>
  <c r="F26" i="1" a="1"/>
  <c r="F26" i="1" s="1"/>
  <c r="F25" i="1" a="1"/>
  <c r="F25" i="1" s="1"/>
  <c r="F24" i="1" a="1"/>
  <c r="F24" i="1" s="1"/>
  <c r="F23" i="1" a="1"/>
  <c r="F23" i="1" s="1"/>
  <c r="F22" i="1" a="1"/>
  <c r="F22" i="1" s="1"/>
  <c r="F21" i="1" a="1"/>
  <c r="F21" i="1" s="1"/>
  <c r="F20" i="1" a="1"/>
  <c r="F20" i="1" s="1"/>
  <c r="F19" i="1" a="1"/>
  <c r="F19" i="1" s="1"/>
  <c r="F18" i="1" a="1"/>
  <c r="F18" i="1" s="1"/>
  <c r="F17" i="1" a="1"/>
  <c r="F17" i="1" s="1"/>
  <c r="F16" i="1" a="1"/>
  <c r="F16" i="1" s="1"/>
  <c r="F15" i="1" a="1"/>
  <c r="F15" i="1" s="1"/>
  <c r="F14" i="1" a="1"/>
  <c r="F14" i="1" s="1"/>
  <c r="F13" i="1" a="1"/>
  <c r="F13" i="1" s="1"/>
  <c r="F12" i="1" a="1"/>
  <c r="F12" i="1" s="1"/>
  <c r="F11" i="1" a="1"/>
  <c r="F11" i="1" s="1"/>
  <c r="F10" i="1" a="1"/>
  <c r="F10" i="1" s="1"/>
  <c r="F9" i="1" a="1"/>
  <c r="F9" i="1" s="1"/>
  <c r="F8" i="1" a="1"/>
  <c r="F8" i="1" s="1"/>
  <c r="F7" i="1" a="1"/>
  <c r="F7" i="1" s="1"/>
  <c r="F6" i="1" a="1"/>
  <c r="F6" i="1" s="1"/>
  <c r="F5" i="1" a="1"/>
  <c r="F5" i="1" s="1"/>
  <c r="F4" i="1" a="1"/>
  <c r="F4" i="1" s="1"/>
  <c r="F3" i="1" a="1"/>
  <c r="F3" i="1" s="1"/>
  <c r="G3" i="1" a="1"/>
  <c r="G3" i="1" s="1"/>
  <c r="I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s="1"/>
  <c r="E17" i="1" a="1"/>
  <c r="E17" i="1" s="1"/>
  <c r="E18" i="1" a="1"/>
  <c r="E18" i="1" s="1"/>
  <c r="E19" i="1" a="1"/>
  <c r="E19" i="1" s="1"/>
  <c r="E20" i="1" a="1"/>
  <c r="E20" i="1" s="1"/>
  <c r="E21" i="1" a="1"/>
  <c r="E21" i="1" s="1"/>
  <c r="E22" i="1" a="1"/>
  <c r="E22" i="1" s="1"/>
  <c r="E23" i="1" a="1"/>
  <c r="E23" i="1" s="1"/>
  <c r="E24" i="1" a="1"/>
  <c r="E24" i="1" s="1"/>
  <c r="E25" i="1" a="1"/>
  <c r="E25" i="1" s="1"/>
  <c r="E27" i="1" a="1"/>
  <c r="E27" i="1" s="1"/>
  <c r="E28" i="1" a="1"/>
  <c r="E28" i="1" s="1"/>
  <c r="E29" i="1" a="1"/>
  <c r="E29" i="1" s="1"/>
  <c r="E30" i="1" a="1"/>
  <c r="E30" i="1" s="1"/>
  <c r="E31" i="1" a="1"/>
  <c r="E31" i="1" s="1"/>
  <c r="E32" i="1" a="1"/>
  <c r="E32" i="1" s="1"/>
  <c r="E33" i="1" a="1"/>
  <c r="E33" i="1" s="1"/>
  <c r="E34" i="1" a="1"/>
  <c r="E34" i="1" s="1"/>
  <c r="E35" i="1" a="1"/>
  <c r="E35" i="1" s="1"/>
  <c r="E36" i="1" a="1"/>
  <c r="E36" i="1" s="1"/>
  <c r="E37" i="1" a="1"/>
  <c r="E37" i="1" s="1"/>
  <c r="E38" i="1" a="1"/>
  <c r="E38" i="1" s="1"/>
  <c r="E39" i="1" a="1"/>
  <c r="E39" i="1" s="1"/>
  <c r="E40" i="1" a="1"/>
  <c r="E40" i="1" s="1"/>
  <c r="E41" i="1" a="1"/>
  <c r="E41" i="1" s="1"/>
  <c r="E42" i="1" a="1"/>
  <c r="E42" i="1" s="1"/>
  <c r="E43" i="1" a="1"/>
  <c r="E43" i="1" s="1"/>
  <c r="E44" i="1" a="1"/>
  <c r="E44" i="1" s="1"/>
  <c r="E45" i="1" a="1"/>
  <c r="E45" i="1" s="1"/>
  <c r="E46" i="1" a="1"/>
  <c r="E46" i="1" s="1"/>
  <c r="E47" i="1" a="1"/>
  <c r="E47" i="1" s="1"/>
  <c r="E48" i="1" a="1"/>
  <c r="E48" i="1" s="1"/>
  <c r="E49" i="1" a="1"/>
  <c r="E49" i="1" s="1"/>
  <c r="E50" i="1" a="1"/>
  <c r="E50" i="1" s="1"/>
  <c r="E51" i="1" a="1"/>
  <c r="E51" i="1" s="1"/>
  <c r="E52" i="1" a="1"/>
  <c r="E52" i="1" s="1"/>
  <c r="E53" i="1" a="1"/>
  <c r="E53" i="1" s="1"/>
  <c r="E54" i="1" a="1"/>
  <c r="E54" i="1" s="1"/>
  <c r="E55" i="1" a="1"/>
  <c r="E55" i="1" s="1"/>
  <c r="E56" i="1" a="1"/>
  <c r="E56" i="1" s="1"/>
  <c r="E57" i="1" a="1"/>
  <c r="E57" i="1" s="1"/>
  <c r="E58" i="1" a="1"/>
  <c r="E58" i="1" s="1"/>
  <c r="E59" i="1" a="1"/>
  <c r="E59" i="1" s="1"/>
  <c r="E60" i="1" a="1"/>
  <c r="E60" i="1" s="1"/>
  <c r="E61" i="1" a="1"/>
  <c r="E61" i="1" s="1"/>
  <c r="E62" i="1" a="1"/>
  <c r="E62" i="1" s="1"/>
  <c r="E63" i="1" a="1"/>
  <c r="E63" i="1" s="1"/>
  <c r="E64" i="1" a="1"/>
  <c r="E64" i="1" s="1"/>
  <c r="E65" i="1" a="1"/>
  <c r="E65" i="1" s="1"/>
  <c r="E66" i="1" a="1"/>
  <c r="E66" i="1" s="1"/>
  <c r="E67" i="1" a="1"/>
  <c r="E67" i="1" s="1"/>
  <c r="E68" i="1" a="1"/>
  <c r="E68" i="1" s="1"/>
  <c r="E69" i="1" a="1"/>
  <c r="E69" i="1" s="1"/>
  <c r="E70" i="1" a="1"/>
  <c r="E70" i="1" s="1"/>
  <c r="E71" i="1" a="1"/>
  <c r="E71" i="1" s="1"/>
  <c r="E72" i="1" a="1"/>
  <c r="E72" i="1" s="1"/>
  <c r="E73" i="1" a="1"/>
  <c r="E73" i="1" s="1"/>
  <c r="E74" i="1" a="1"/>
  <c r="E74" i="1" s="1"/>
  <c r="E75" i="1" a="1"/>
  <c r="E75" i="1" s="1"/>
  <c r="E76" i="1" a="1"/>
  <c r="E76" i="1" s="1"/>
  <c r="E77" i="1" a="1"/>
  <c r="E77" i="1" s="1"/>
  <c r="E78" i="1" a="1"/>
  <c r="E78" i="1" s="1"/>
  <c r="E79" i="1" a="1"/>
  <c r="E79" i="1" s="1"/>
  <c r="E81" i="1" a="1"/>
  <c r="E81" i="1" s="1"/>
  <c r="E82" i="1" a="1"/>
  <c r="E82" i="1" s="1"/>
  <c r="E83" i="1" a="1"/>
  <c r="E83" i="1" s="1"/>
  <c r="E84" i="1" a="1"/>
  <c r="E84" i="1" s="1"/>
  <c r="E85" i="1" a="1"/>
  <c r="E85" i="1" s="1"/>
  <c r="E86" i="1" a="1"/>
  <c r="E86" i="1" s="1"/>
  <c r="E87" i="1" a="1"/>
  <c r="E87" i="1" s="1"/>
  <c r="E88" i="1" a="1"/>
  <c r="E88" i="1" s="1"/>
  <c r="E89" i="1" a="1"/>
  <c r="E89" i="1" s="1"/>
  <c r="E90" i="1" a="1"/>
  <c r="E90" i="1" s="1"/>
  <c r="E91" i="1" a="1"/>
  <c r="E91" i="1" s="1"/>
  <c r="E92" i="1" a="1"/>
  <c r="E92" i="1" s="1"/>
  <c r="E93" i="1" a="1"/>
  <c r="E93" i="1" s="1"/>
  <c r="E94" i="1" a="1"/>
  <c r="E94" i="1" s="1"/>
  <c r="E95" i="1" a="1"/>
  <c r="E95" i="1" s="1"/>
  <c r="E96" i="1" a="1"/>
  <c r="E96" i="1" s="1"/>
  <c r="E97" i="1" a="1"/>
  <c r="E97" i="1" s="1"/>
  <c r="E98" i="1" a="1"/>
  <c r="E98" i="1" s="1"/>
  <c r="E99" i="1" a="1"/>
  <c r="E99" i="1" s="1"/>
  <c r="E100" i="1" a="1"/>
  <c r="E100" i="1" s="1"/>
  <c r="E101" i="1" a="1"/>
  <c r="E101" i="1" s="1"/>
  <c r="E102" i="1" a="1"/>
  <c r="E102" i="1" s="1"/>
  <c r="E103" i="1" a="1"/>
  <c r="E103" i="1" s="1"/>
  <c r="E104" i="1" a="1"/>
  <c r="E104" i="1" s="1"/>
  <c r="E105" i="1" a="1"/>
  <c r="E105" i="1" s="1"/>
  <c r="E106" i="1" a="1"/>
  <c r="E106" i="1" s="1"/>
  <c r="E107" i="1" a="1"/>
  <c r="E107" i="1" s="1"/>
  <c r="E108" i="1" a="1"/>
  <c r="E108" i="1" s="1"/>
  <c r="E109" i="1" a="1"/>
  <c r="E109" i="1" s="1"/>
  <c r="E110" i="1" a="1"/>
  <c r="E110" i="1" s="1"/>
  <c r="E111" i="1" a="1"/>
  <c r="E111" i="1" s="1"/>
  <c r="E112" i="1" a="1"/>
  <c r="E112" i="1" s="1"/>
  <c r="E113" i="1" a="1"/>
  <c r="E113" i="1" s="1"/>
  <c r="E114" i="1" a="1"/>
  <c r="E114" i="1" s="1"/>
  <c r="E115" i="1" a="1"/>
  <c r="E115" i="1" s="1"/>
  <c r="E116" i="1" a="1"/>
  <c r="E116" i="1" s="1"/>
  <c r="E117" i="1" a="1"/>
  <c r="E117" i="1" s="1"/>
  <c r="E118" i="1" a="1"/>
  <c r="E118" i="1" s="1"/>
  <c r="E119" i="1" a="1"/>
  <c r="E119" i="1" s="1"/>
  <c r="E120" i="1" a="1"/>
  <c r="E120" i="1" s="1"/>
  <c r="E121" i="1" a="1"/>
  <c r="E121" i="1" s="1"/>
  <c r="E122" i="1" a="1"/>
  <c r="E122" i="1" s="1"/>
  <c r="E123" i="1" a="1"/>
  <c r="E123" i="1" s="1"/>
  <c r="E124" i="1" a="1"/>
  <c r="E124" i="1" s="1"/>
  <c r="E125" i="1" a="1"/>
  <c r="E125" i="1" s="1"/>
  <c r="E126" i="1" a="1"/>
  <c r="E126" i="1" s="1"/>
  <c r="E127" i="1" a="1"/>
  <c r="E127" i="1" s="1"/>
  <c r="E128" i="1" a="1"/>
  <c r="E128" i="1" s="1"/>
  <c r="E130" i="1" a="1"/>
  <c r="E130" i="1" s="1"/>
  <c r="E132" i="1" a="1"/>
  <c r="E132" i="1" s="1"/>
  <c r="E133" i="1" a="1"/>
  <c r="E133" i="1" s="1"/>
  <c r="E135" i="1" a="1"/>
  <c r="E135" i="1" s="1"/>
  <c r="E136" i="1" a="1"/>
  <c r="E136" i="1" s="1"/>
  <c r="E137" i="1" a="1"/>
  <c r="E137" i="1" s="1"/>
  <c r="E139" i="1" a="1"/>
  <c r="E139" i="1" s="1"/>
  <c r="E140" i="1" a="1"/>
  <c r="E140" i="1" s="1"/>
  <c r="E141" i="1" a="1"/>
  <c r="E141" i="1" s="1"/>
  <c r="E142" i="1" a="1"/>
  <c r="E142" i="1" s="1"/>
  <c r="E143" i="1" a="1"/>
  <c r="E143" i="1" s="1"/>
  <c r="E144" i="1" a="1"/>
  <c r="E144" i="1" s="1"/>
  <c r="E146" i="1" a="1"/>
  <c r="E146" i="1" s="1"/>
  <c r="E147" i="1" a="1"/>
  <c r="E147" i="1" s="1"/>
  <c r="E148" i="1" a="1"/>
  <c r="E148" i="1" s="1"/>
  <c r="E149" i="1" a="1"/>
  <c r="E149" i="1" s="1"/>
  <c r="E150" i="1" a="1"/>
  <c r="E150" i="1" s="1"/>
  <c r="E151" i="1" a="1"/>
  <c r="E151" i="1" s="1"/>
  <c r="E152" i="1" a="1"/>
  <c r="E152" i="1" s="1"/>
  <c r="E153" i="1" a="1"/>
  <c r="E153" i="1" s="1"/>
  <c r="E154" i="1" a="1"/>
  <c r="E154" i="1" s="1"/>
  <c r="E155" i="1" a="1"/>
  <c r="E155" i="1" s="1"/>
  <c r="E157" i="1" a="1"/>
  <c r="E157" i="1" s="1"/>
  <c r="E158" i="1" a="1"/>
  <c r="E158" i="1" s="1"/>
  <c r="E159" i="1" a="1"/>
  <c r="E159" i="1" s="1"/>
  <c r="E160" i="1" a="1"/>
  <c r="E160" i="1" s="1"/>
  <c r="E161" i="1" a="1"/>
  <c r="E161" i="1" s="1"/>
  <c r="E162" i="1" a="1"/>
  <c r="E162" i="1" s="1"/>
  <c r="E163" i="1" a="1"/>
  <c r="E163" i="1" s="1"/>
  <c r="E164" i="1" a="1"/>
  <c r="E164" i="1" s="1"/>
  <c r="E165" i="1" a="1"/>
  <c r="E165" i="1" s="1"/>
  <c r="E166" i="1" a="1"/>
  <c r="E166" i="1" s="1"/>
  <c r="E168" i="1" a="1"/>
  <c r="E168" i="1" s="1"/>
  <c r="E3" i="1" a="1"/>
  <c r="E3" i="1" s="1"/>
  <c r="I165" i="1" l="1"/>
  <c r="I50" i="1"/>
  <c r="I120" i="1"/>
  <c r="I110" i="1"/>
  <c r="I100" i="1"/>
  <c r="I90" i="1"/>
  <c r="I79" i="1"/>
  <c r="I69" i="1"/>
  <c r="I59" i="1"/>
  <c r="I29" i="1"/>
  <c r="I19" i="1"/>
  <c r="I9" i="1"/>
  <c r="I38" i="1"/>
  <c r="I28"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64">
    <bk>
      <extLst>
        <ext uri="{3e2802c4-a4d2-4d8b-9148-e3be6c30e623}">
          <xlrd:rvb i="1"/>
        </ext>
      </extLst>
    </bk>
    <bk>
      <extLst>
        <ext uri="{3e2802c4-a4d2-4d8b-9148-e3be6c30e623}">
          <xlrd:rvb i="4"/>
        </ext>
      </extLst>
    </bk>
    <bk>
      <extLst>
        <ext uri="{3e2802c4-a4d2-4d8b-9148-e3be6c30e623}">
          <xlrd:rvb i="7"/>
        </ext>
      </extLst>
    </bk>
    <bk>
      <extLst>
        <ext uri="{3e2802c4-a4d2-4d8b-9148-e3be6c30e623}">
          <xlrd:rvb i="10"/>
        </ext>
      </extLst>
    </bk>
    <bk>
      <extLst>
        <ext uri="{3e2802c4-a4d2-4d8b-9148-e3be6c30e623}">
          <xlrd:rvb i="13"/>
        </ext>
      </extLst>
    </bk>
    <bk>
      <extLst>
        <ext uri="{3e2802c4-a4d2-4d8b-9148-e3be6c30e623}">
          <xlrd:rvb i="16"/>
        </ext>
      </extLst>
    </bk>
    <bk>
      <extLst>
        <ext uri="{3e2802c4-a4d2-4d8b-9148-e3be6c30e623}">
          <xlrd:rvb i="23"/>
        </ext>
      </extLst>
    </bk>
    <bk>
      <extLst>
        <ext uri="{3e2802c4-a4d2-4d8b-9148-e3be6c30e623}">
          <xlrd:rvb i="26"/>
        </ext>
      </extLst>
    </bk>
    <bk>
      <extLst>
        <ext uri="{3e2802c4-a4d2-4d8b-9148-e3be6c30e623}">
          <xlrd:rvb i="29"/>
        </ext>
      </extLst>
    </bk>
    <bk>
      <extLst>
        <ext uri="{3e2802c4-a4d2-4d8b-9148-e3be6c30e623}">
          <xlrd:rvb i="32"/>
        </ext>
      </extLst>
    </bk>
    <bk>
      <extLst>
        <ext uri="{3e2802c4-a4d2-4d8b-9148-e3be6c30e623}">
          <xlrd:rvb i="35"/>
        </ext>
      </extLst>
    </bk>
    <bk>
      <extLst>
        <ext uri="{3e2802c4-a4d2-4d8b-9148-e3be6c30e623}">
          <xlrd:rvb i="38"/>
        </ext>
      </extLst>
    </bk>
    <bk>
      <extLst>
        <ext uri="{3e2802c4-a4d2-4d8b-9148-e3be6c30e623}">
          <xlrd:rvb i="41"/>
        </ext>
      </extLst>
    </bk>
    <bk>
      <extLst>
        <ext uri="{3e2802c4-a4d2-4d8b-9148-e3be6c30e623}">
          <xlrd:rvb i="44"/>
        </ext>
      </extLst>
    </bk>
    <bk>
      <extLst>
        <ext uri="{3e2802c4-a4d2-4d8b-9148-e3be6c30e623}">
          <xlrd:rvb i="47"/>
        </ext>
      </extLst>
    </bk>
    <bk>
      <extLst>
        <ext uri="{3e2802c4-a4d2-4d8b-9148-e3be6c30e623}">
          <xlrd:rvb i="50"/>
        </ext>
      </extLst>
    </bk>
    <bk>
      <extLst>
        <ext uri="{3e2802c4-a4d2-4d8b-9148-e3be6c30e623}">
          <xlrd:rvb i="53"/>
        </ext>
      </extLst>
    </bk>
    <bk>
      <extLst>
        <ext uri="{3e2802c4-a4d2-4d8b-9148-e3be6c30e623}">
          <xlrd:rvb i="56"/>
        </ext>
      </extLst>
    </bk>
    <bk>
      <extLst>
        <ext uri="{3e2802c4-a4d2-4d8b-9148-e3be6c30e623}">
          <xlrd:rvb i="59"/>
        </ext>
      </extLst>
    </bk>
    <bk>
      <extLst>
        <ext uri="{3e2802c4-a4d2-4d8b-9148-e3be6c30e623}">
          <xlrd:rvb i="62"/>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3"/>
        </ext>
      </extLst>
    </bk>
    <bk>
      <extLst>
        <ext uri="{3e2802c4-a4d2-4d8b-9148-e3be6c30e623}">
          <xlrd:rvb i="76"/>
        </ext>
      </extLst>
    </bk>
    <bk>
      <extLst>
        <ext uri="{3e2802c4-a4d2-4d8b-9148-e3be6c30e623}">
          <xlrd:rvb i="79"/>
        </ext>
      </extLst>
    </bk>
    <bk>
      <extLst>
        <ext uri="{3e2802c4-a4d2-4d8b-9148-e3be6c30e623}">
          <xlrd:rvb i="82"/>
        </ext>
      </extLst>
    </bk>
    <bk>
      <extLst>
        <ext uri="{3e2802c4-a4d2-4d8b-9148-e3be6c30e623}">
          <xlrd:rvb i="85"/>
        </ext>
      </extLst>
    </bk>
    <bk>
      <extLst>
        <ext uri="{3e2802c4-a4d2-4d8b-9148-e3be6c30e623}">
          <xlrd:rvb i="88"/>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8"/>
        </ext>
      </extLst>
    </bk>
    <bk>
      <extLst>
        <ext uri="{3e2802c4-a4d2-4d8b-9148-e3be6c30e623}">
          <xlrd:rvb i="111"/>
        </ext>
      </extLst>
    </bk>
    <bk>
      <extLst>
        <ext uri="{3e2802c4-a4d2-4d8b-9148-e3be6c30e623}">
          <xlrd:rvb i="114"/>
        </ext>
      </extLst>
    </bk>
    <bk>
      <extLst>
        <ext uri="{3e2802c4-a4d2-4d8b-9148-e3be6c30e623}">
          <xlrd:rvb i="117"/>
        </ext>
      </extLst>
    </bk>
    <bk>
      <extLst>
        <ext uri="{3e2802c4-a4d2-4d8b-9148-e3be6c30e623}">
          <xlrd:rvb i="120"/>
        </ext>
      </extLst>
    </bk>
    <bk>
      <extLst>
        <ext uri="{3e2802c4-a4d2-4d8b-9148-e3be6c30e623}">
          <xlrd:rvb i="122"/>
        </ext>
      </extLst>
    </bk>
    <bk>
      <extLst>
        <ext uri="{3e2802c4-a4d2-4d8b-9148-e3be6c30e623}">
          <xlrd:rvb i="125"/>
        </ext>
      </extLst>
    </bk>
    <bk>
      <extLst>
        <ext uri="{3e2802c4-a4d2-4d8b-9148-e3be6c30e623}">
          <xlrd:rvb i="128"/>
        </ext>
      </extLst>
    </bk>
    <bk>
      <extLst>
        <ext uri="{3e2802c4-a4d2-4d8b-9148-e3be6c30e623}">
          <xlrd:rvb i="131"/>
        </ext>
      </extLst>
    </bk>
    <bk>
      <extLst>
        <ext uri="{3e2802c4-a4d2-4d8b-9148-e3be6c30e623}">
          <xlrd:rvb i="134"/>
        </ext>
      </extLst>
    </bk>
    <bk>
      <extLst>
        <ext uri="{3e2802c4-a4d2-4d8b-9148-e3be6c30e623}">
          <xlrd:rvb i="137"/>
        </ext>
      </extLst>
    </bk>
    <bk>
      <extLst>
        <ext uri="{3e2802c4-a4d2-4d8b-9148-e3be6c30e623}">
          <xlrd:rvb i="140"/>
        </ext>
      </extLst>
    </bk>
    <bk>
      <extLst>
        <ext uri="{3e2802c4-a4d2-4d8b-9148-e3be6c30e623}">
          <xlrd:rvb i="143"/>
        </ext>
      </extLst>
    </bk>
    <bk>
      <extLst>
        <ext uri="{3e2802c4-a4d2-4d8b-9148-e3be6c30e623}">
          <xlrd:rvb i="146"/>
        </ext>
      </extLst>
    </bk>
    <bk>
      <extLst>
        <ext uri="{3e2802c4-a4d2-4d8b-9148-e3be6c30e623}">
          <xlrd:rvb i="149"/>
        </ext>
      </extLst>
    </bk>
    <bk>
      <extLst>
        <ext uri="{3e2802c4-a4d2-4d8b-9148-e3be6c30e623}">
          <xlrd:rvb i="152"/>
        </ext>
      </extLst>
    </bk>
    <bk>
      <extLst>
        <ext uri="{3e2802c4-a4d2-4d8b-9148-e3be6c30e623}">
          <xlrd:rvb i="155"/>
        </ext>
      </extLst>
    </bk>
    <bk>
      <extLst>
        <ext uri="{3e2802c4-a4d2-4d8b-9148-e3be6c30e623}">
          <xlrd:rvb i="158"/>
        </ext>
      </extLst>
    </bk>
    <bk>
      <extLst>
        <ext uri="{3e2802c4-a4d2-4d8b-9148-e3be6c30e623}">
          <xlrd:rvb i="160"/>
        </ext>
      </extLst>
    </bk>
    <bk>
      <extLst>
        <ext uri="{3e2802c4-a4d2-4d8b-9148-e3be6c30e623}">
          <xlrd:rvb i="161"/>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5"/>
        </ext>
      </extLst>
    </bk>
    <bk>
      <extLst>
        <ext uri="{3e2802c4-a4d2-4d8b-9148-e3be6c30e623}">
          <xlrd:rvb i="178"/>
        </ext>
      </extLst>
    </bk>
    <bk>
      <extLst>
        <ext uri="{3e2802c4-a4d2-4d8b-9148-e3be6c30e623}">
          <xlrd:rvb i="181"/>
        </ext>
      </extLst>
    </bk>
    <bk>
      <extLst>
        <ext uri="{3e2802c4-a4d2-4d8b-9148-e3be6c30e623}">
          <xlrd:rvb i="184"/>
        </ext>
      </extLst>
    </bk>
    <bk>
      <extLst>
        <ext uri="{3e2802c4-a4d2-4d8b-9148-e3be6c30e623}">
          <xlrd:rvb i="187"/>
        </ext>
      </extLst>
    </bk>
    <bk>
      <extLst>
        <ext uri="{3e2802c4-a4d2-4d8b-9148-e3be6c30e623}">
          <xlrd:rvb i="190"/>
        </ext>
      </extLst>
    </bk>
    <bk>
      <extLst>
        <ext uri="{3e2802c4-a4d2-4d8b-9148-e3be6c30e623}">
          <xlrd:rvb i="193"/>
        </ext>
      </extLst>
    </bk>
    <bk>
      <extLst>
        <ext uri="{3e2802c4-a4d2-4d8b-9148-e3be6c30e623}">
          <xlrd:rvb i="196"/>
        </ext>
      </extLst>
    </bk>
    <bk>
      <extLst>
        <ext uri="{3e2802c4-a4d2-4d8b-9148-e3be6c30e623}">
          <xlrd:rvb i="199"/>
        </ext>
      </extLst>
    </bk>
    <bk>
      <extLst>
        <ext uri="{3e2802c4-a4d2-4d8b-9148-e3be6c30e623}">
          <xlrd:rvb i="202"/>
        </ext>
      </extLst>
    </bk>
    <bk>
      <extLst>
        <ext uri="{3e2802c4-a4d2-4d8b-9148-e3be6c30e623}">
          <xlrd:rvb i="205"/>
        </ext>
      </extLst>
    </bk>
    <bk>
      <extLst>
        <ext uri="{3e2802c4-a4d2-4d8b-9148-e3be6c30e623}">
          <xlrd:rvb i="208"/>
        </ext>
      </extLst>
    </bk>
    <bk>
      <extLst>
        <ext uri="{3e2802c4-a4d2-4d8b-9148-e3be6c30e623}">
          <xlrd:rvb i="211"/>
        </ext>
      </extLst>
    </bk>
    <bk>
      <extLst>
        <ext uri="{3e2802c4-a4d2-4d8b-9148-e3be6c30e623}">
          <xlrd:rvb i="214"/>
        </ext>
      </extLst>
    </bk>
    <bk>
      <extLst>
        <ext uri="{3e2802c4-a4d2-4d8b-9148-e3be6c30e623}">
          <xlrd:rvb i="217"/>
        </ext>
      </extLst>
    </bk>
    <bk>
      <extLst>
        <ext uri="{3e2802c4-a4d2-4d8b-9148-e3be6c30e623}">
          <xlrd:rvb i="220"/>
        </ext>
      </extLst>
    </bk>
    <bk>
      <extLst>
        <ext uri="{3e2802c4-a4d2-4d8b-9148-e3be6c30e623}">
          <xlrd:rvb i="223"/>
        </ext>
      </extLst>
    </bk>
    <bk>
      <extLst>
        <ext uri="{3e2802c4-a4d2-4d8b-9148-e3be6c30e623}">
          <xlrd:rvb i="225"/>
        </ext>
      </extLst>
    </bk>
    <bk>
      <extLst>
        <ext uri="{3e2802c4-a4d2-4d8b-9148-e3be6c30e623}">
          <xlrd:rvb i="228"/>
        </ext>
      </extLst>
    </bk>
    <bk>
      <extLst>
        <ext uri="{3e2802c4-a4d2-4d8b-9148-e3be6c30e623}">
          <xlrd:rvb i="231"/>
        </ext>
      </extLst>
    </bk>
    <bk>
      <extLst>
        <ext uri="{3e2802c4-a4d2-4d8b-9148-e3be6c30e623}">
          <xlrd:rvb i="234"/>
        </ext>
      </extLst>
    </bk>
    <bk>
      <extLst>
        <ext uri="{3e2802c4-a4d2-4d8b-9148-e3be6c30e623}">
          <xlrd:rvb i="237"/>
        </ext>
      </extLst>
    </bk>
    <bk>
      <extLst>
        <ext uri="{3e2802c4-a4d2-4d8b-9148-e3be6c30e623}">
          <xlrd:rvb i="240"/>
        </ext>
      </extLst>
    </bk>
    <bk>
      <extLst>
        <ext uri="{3e2802c4-a4d2-4d8b-9148-e3be6c30e623}">
          <xlrd:rvb i="243"/>
        </ext>
      </extLst>
    </bk>
    <bk>
      <extLst>
        <ext uri="{3e2802c4-a4d2-4d8b-9148-e3be6c30e623}">
          <xlrd:rvb i="246"/>
        </ext>
      </extLst>
    </bk>
    <bk>
      <extLst>
        <ext uri="{3e2802c4-a4d2-4d8b-9148-e3be6c30e623}">
          <xlrd:rvb i="248"/>
        </ext>
      </extLst>
    </bk>
    <bk>
      <extLst>
        <ext uri="{3e2802c4-a4d2-4d8b-9148-e3be6c30e623}">
          <xlrd:rvb i="251"/>
        </ext>
      </extLst>
    </bk>
    <bk>
      <extLst>
        <ext uri="{3e2802c4-a4d2-4d8b-9148-e3be6c30e623}">
          <xlrd:rvb i="254"/>
        </ext>
      </extLst>
    </bk>
    <bk>
      <extLst>
        <ext uri="{3e2802c4-a4d2-4d8b-9148-e3be6c30e623}">
          <xlrd:rvb i="257"/>
        </ext>
      </extLst>
    </bk>
    <bk>
      <extLst>
        <ext uri="{3e2802c4-a4d2-4d8b-9148-e3be6c30e623}">
          <xlrd:rvb i="260"/>
        </ext>
      </extLst>
    </bk>
    <bk>
      <extLst>
        <ext uri="{3e2802c4-a4d2-4d8b-9148-e3be6c30e623}">
          <xlrd:rvb i="262"/>
        </ext>
      </extLst>
    </bk>
    <bk>
      <extLst>
        <ext uri="{3e2802c4-a4d2-4d8b-9148-e3be6c30e623}">
          <xlrd:rvb i="265"/>
        </ext>
      </extLst>
    </bk>
    <bk>
      <extLst>
        <ext uri="{3e2802c4-a4d2-4d8b-9148-e3be6c30e623}">
          <xlrd:rvb i="268"/>
        </ext>
      </extLst>
    </bk>
    <bk>
      <extLst>
        <ext uri="{3e2802c4-a4d2-4d8b-9148-e3be6c30e623}">
          <xlrd:rvb i="271"/>
        </ext>
      </extLst>
    </bk>
    <bk>
      <extLst>
        <ext uri="{3e2802c4-a4d2-4d8b-9148-e3be6c30e623}">
          <xlrd:rvb i="274"/>
        </ext>
      </extLst>
    </bk>
    <bk>
      <extLst>
        <ext uri="{3e2802c4-a4d2-4d8b-9148-e3be6c30e623}">
          <xlrd:rvb i="277"/>
        </ext>
      </extLst>
    </bk>
    <bk>
      <extLst>
        <ext uri="{3e2802c4-a4d2-4d8b-9148-e3be6c30e623}">
          <xlrd:rvb i="279"/>
        </ext>
      </extLst>
    </bk>
    <bk>
      <extLst>
        <ext uri="{3e2802c4-a4d2-4d8b-9148-e3be6c30e623}">
          <xlrd:rvb i="282"/>
        </ext>
      </extLst>
    </bk>
    <bk>
      <extLst>
        <ext uri="{3e2802c4-a4d2-4d8b-9148-e3be6c30e623}">
          <xlrd:rvb i="285"/>
        </ext>
      </extLst>
    </bk>
    <bk>
      <extLst>
        <ext uri="{3e2802c4-a4d2-4d8b-9148-e3be6c30e623}">
          <xlrd:rvb i="288"/>
        </ext>
      </extLst>
    </bk>
    <bk>
      <extLst>
        <ext uri="{3e2802c4-a4d2-4d8b-9148-e3be6c30e623}">
          <xlrd:rvb i="291"/>
        </ext>
      </extLst>
    </bk>
    <bk>
      <extLst>
        <ext uri="{3e2802c4-a4d2-4d8b-9148-e3be6c30e623}">
          <xlrd:rvb i="294"/>
        </ext>
      </extLst>
    </bk>
    <bk>
      <extLst>
        <ext uri="{3e2802c4-a4d2-4d8b-9148-e3be6c30e623}">
          <xlrd:rvb i="297"/>
        </ext>
      </extLst>
    </bk>
    <bk>
      <extLst>
        <ext uri="{3e2802c4-a4d2-4d8b-9148-e3be6c30e623}">
          <xlrd:rvb i="300"/>
        </ext>
      </extLst>
    </bk>
    <bk>
      <extLst>
        <ext uri="{3e2802c4-a4d2-4d8b-9148-e3be6c30e623}">
          <xlrd:rvb i="303"/>
        </ext>
      </extLst>
    </bk>
    <bk>
      <extLst>
        <ext uri="{3e2802c4-a4d2-4d8b-9148-e3be6c30e623}">
          <xlrd:rvb i="306"/>
        </ext>
      </extLst>
    </bk>
    <bk>
      <extLst>
        <ext uri="{3e2802c4-a4d2-4d8b-9148-e3be6c30e623}">
          <xlrd:rvb i="309"/>
        </ext>
      </extLst>
    </bk>
    <bk>
      <extLst>
        <ext uri="{3e2802c4-a4d2-4d8b-9148-e3be6c30e623}">
          <xlrd:rvb i="312"/>
        </ext>
      </extLst>
    </bk>
    <bk>
      <extLst>
        <ext uri="{3e2802c4-a4d2-4d8b-9148-e3be6c30e623}">
          <xlrd:rvb i="315"/>
        </ext>
      </extLst>
    </bk>
    <bk>
      <extLst>
        <ext uri="{3e2802c4-a4d2-4d8b-9148-e3be6c30e623}">
          <xlrd:rvb i="318"/>
        </ext>
      </extLst>
    </bk>
    <bk>
      <extLst>
        <ext uri="{3e2802c4-a4d2-4d8b-9148-e3be6c30e623}">
          <xlrd:rvb i="321"/>
        </ext>
      </extLst>
    </bk>
    <bk>
      <extLst>
        <ext uri="{3e2802c4-a4d2-4d8b-9148-e3be6c30e623}">
          <xlrd:rvb i="324"/>
        </ext>
      </extLst>
    </bk>
    <bk>
      <extLst>
        <ext uri="{3e2802c4-a4d2-4d8b-9148-e3be6c30e623}">
          <xlrd:rvb i="327"/>
        </ext>
      </extLst>
    </bk>
    <bk>
      <extLst>
        <ext uri="{3e2802c4-a4d2-4d8b-9148-e3be6c30e623}">
          <xlrd:rvb i="330"/>
        </ext>
      </extLst>
    </bk>
    <bk>
      <extLst>
        <ext uri="{3e2802c4-a4d2-4d8b-9148-e3be6c30e623}">
          <xlrd:rvb i="333"/>
        </ext>
      </extLst>
    </bk>
    <bk>
      <extLst>
        <ext uri="{3e2802c4-a4d2-4d8b-9148-e3be6c30e623}">
          <xlrd:rvb i="336"/>
        </ext>
      </extLst>
    </bk>
    <bk>
      <extLst>
        <ext uri="{3e2802c4-a4d2-4d8b-9148-e3be6c30e623}">
          <xlrd:rvb i="339"/>
        </ext>
      </extLst>
    </bk>
    <bk>
      <extLst>
        <ext uri="{3e2802c4-a4d2-4d8b-9148-e3be6c30e623}">
          <xlrd:rvb i="342"/>
        </ext>
      </extLst>
    </bk>
    <bk>
      <extLst>
        <ext uri="{3e2802c4-a4d2-4d8b-9148-e3be6c30e623}">
          <xlrd:rvb i="345"/>
        </ext>
      </extLst>
    </bk>
    <bk>
      <extLst>
        <ext uri="{3e2802c4-a4d2-4d8b-9148-e3be6c30e623}">
          <xlrd:rvb i="348"/>
        </ext>
      </extLst>
    </bk>
    <bk>
      <extLst>
        <ext uri="{3e2802c4-a4d2-4d8b-9148-e3be6c30e623}">
          <xlrd:rvb i="351"/>
        </ext>
      </extLst>
    </bk>
    <bk>
      <extLst>
        <ext uri="{3e2802c4-a4d2-4d8b-9148-e3be6c30e623}">
          <xlrd:rvb i="354"/>
        </ext>
      </extLst>
    </bk>
    <bk>
      <extLst>
        <ext uri="{3e2802c4-a4d2-4d8b-9148-e3be6c30e623}">
          <xlrd:rvb i="357"/>
        </ext>
      </extLst>
    </bk>
    <bk>
      <extLst>
        <ext uri="{3e2802c4-a4d2-4d8b-9148-e3be6c30e623}">
          <xlrd:rvb i="359"/>
        </ext>
      </extLst>
    </bk>
    <bk>
      <extLst>
        <ext uri="{3e2802c4-a4d2-4d8b-9148-e3be6c30e623}">
          <xlrd:rvb i="362"/>
        </ext>
      </extLst>
    </bk>
    <bk>
      <extLst>
        <ext uri="{3e2802c4-a4d2-4d8b-9148-e3be6c30e623}">
          <xlrd:rvb i="365"/>
        </ext>
      </extLst>
    </bk>
    <bk>
      <extLst>
        <ext uri="{3e2802c4-a4d2-4d8b-9148-e3be6c30e623}">
          <xlrd:rvb i="368"/>
        </ext>
      </extLst>
    </bk>
    <bk>
      <extLst>
        <ext uri="{3e2802c4-a4d2-4d8b-9148-e3be6c30e623}">
          <xlrd:rvb i="371"/>
        </ext>
      </extLst>
    </bk>
    <bk>
      <extLst>
        <ext uri="{3e2802c4-a4d2-4d8b-9148-e3be6c30e623}">
          <xlrd:rvb i="374"/>
        </ext>
      </extLst>
    </bk>
    <bk>
      <extLst>
        <ext uri="{3e2802c4-a4d2-4d8b-9148-e3be6c30e623}">
          <xlrd:rvb i="377"/>
        </ext>
      </extLst>
    </bk>
    <bk>
      <extLst>
        <ext uri="{3e2802c4-a4d2-4d8b-9148-e3be6c30e623}">
          <xlrd:rvb i="380"/>
        </ext>
      </extLst>
    </bk>
    <bk>
      <extLst>
        <ext uri="{3e2802c4-a4d2-4d8b-9148-e3be6c30e623}">
          <xlrd:rvb i="383"/>
        </ext>
      </extLst>
    </bk>
    <bk>
      <extLst>
        <ext uri="{3e2802c4-a4d2-4d8b-9148-e3be6c30e623}">
          <xlrd:rvb i="385"/>
        </ext>
      </extLst>
    </bk>
    <bk>
      <extLst>
        <ext uri="{3e2802c4-a4d2-4d8b-9148-e3be6c30e623}">
          <xlrd:rvb i="388"/>
        </ext>
      </extLst>
    </bk>
    <bk>
      <extLst>
        <ext uri="{3e2802c4-a4d2-4d8b-9148-e3be6c30e623}">
          <xlrd:rvb i="391"/>
        </ext>
      </extLst>
    </bk>
    <bk>
      <extLst>
        <ext uri="{3e2802c4-a4d2-4d8b-9148-e3be6c30e623}">
          <xlrd:rvb i="394"/>
        </ext>
      </extLst>
    </bk>
    <bk>
      <extLst>
        <ext uri="{3e2802c4-a4d2-4d8b-9148-e3be6c30e623}">
          <xlrd:rvb i="397"/>
        </ext>
      </extLst>
    </bk>
    <bk>
      <extLst>
        <ext uri="{3e2802c4-a4d2-4d8b-9148-e3be6c30e623}">
          <xlrd:rvb i="400"/>
        </ext>
      </extLst>
    </bk>
    <bk>
      <extLst>
        <ext uri="{3e2802c4-a4d2-4d8b-9148-e3be6c30e623}">
          <xlrd:rvb i="403"/>
        </ext>
      </extLst>
    </bk>
    <bk>
      <extLst>
        <ext uri="{3e2802c4-a4d2-4d8b-9148-e3be6c30e623}">
          <xlrd:rvb i="406"/>
        </ext>
      </extLst>
    </bk>
    <bk>
      <extLst>
        <ext uri="{3e2802c4-a4d2-4d8b-9148-e3be6c30e623}">
          <xlrd:rvb i="409"/>
        </ext>
      </extLst>
    </bk>
    <bk>
      <extLst>
        <ext uri="{3e2802c4-a4d2-4d8b-9148-e3be6c30e623}">
          <xlrd:rvb i="412"/>
        </ext>
      </extLst>
    </bk>
    <bk>
      <extLst>
        <ext uri="{3e2802c4-a4d2-4d8b-9148-e3be6c30e623}">
          <xlrd:rvb i="415"/>
        </ext>
      </extLst>
    </bk>
    <bk>
      <extLst>
        <ext uri="{3e2802c4-a4d2-4d8b-9148-e3be6c30e623}">
          <xlrd:rvb i="417"/>
        </ext>
      </extLst>
    </bk>
    <bk>
      <extLst>
        <ext uri="{3e2802c4-a4d2-4d8b-9148-e3be6c30e623}">
          <xlrd:rvb i="420"/>
        </ext>
      </extLst>
    </bk>
    <bk>
      <extLst>
        <ext uri="{3e2802c4-a4d2-4d8b-9148-e3be6c30e623}">
          <xlrd:rvb i="422"/>
        </ext>
      </extLst>
    </bk>
    <bk>
      <extLst>
        <ext uri="{3e2802c4-a4d2-4d8b-9148-e3be6c30e623}">
          <xlrd:rvb i="424"/>
        </ext>
      </extLst>
    </bk>
    <bk>
      <extLst>
        <ext uri="{3e2802c4-a4d2-4d8b-9148-e3be6c30e623}">
          <xlrd:rvb i="427"/>
        </ext>
      </extLst>
    </bk>
    <bk>
      <extLst>
        <ext uri="{3e2802c4-a4d2-4d8b-9148-e3be6c30e623}">
          <xlrd:rvb i="430"/>
        </ext>
      </extLst>
    </bk>
    <bk>
      <extLst>
        <ext uri="{3e2802c4-a4d2-4d8b-9148-e3be6c30e623}">
          <xlrd:rvb i="433"/>
        </ext>
      </extLst>
    </bk>
    <bk>
      <extLst>
        <ext uri="{3e2802c4-a4d2-4d8b-9148-e3be6c30e623}">
          <xlrd:rvb i="435"/>
        </ext>
      </extLst>
    </bk>
    <bk>
      <extLst>
        <ext uri="{3e2802c4-a4d2-4d8b-9148-e3be6c30e623}">
          <xlrd:rvb i="438"/>
        </ext>
      </extLst>
    </bk>
    <bk>
      <extLst>
        <ext uri="{3e2802c4-a4d2-4d8b-9148-e3be6c30e623}">
          <xlrd:rvb i="441"/>
        </ext>
      </extLst>
    </bk>
    <bk>
      <extLst>
        <ext uri="{3e2802c4-a4d2-4d8b-9148-e3be6c30e623}">
          <xlrd:rvb i="444"/>
        </ext>
      </extLst>
    </bk>
    <bk>
      <extLst>
        <ext uri="{3e2802c4-a4d2-4d8b-9148-e3be6c30e623}">
          <xlrd:rvb i="447"/>
        </ext>
      </extLst>
    </bk>
    <bk>
      <extLst>
        <ext uri="{3e2802c4-a4d2-4d8b-9148-e3be6c30e623}">
          <xlrd:rvb i="449"/>
        </ext>
      </extLst>
    </bk>
    <bk>
      <extLst>
        <ext uri="{3e2802c4-a4d2-4d8b-9148-e3be6c30e623}">
          <xlrd:rvb i="452"/>
        </ext>
      </extLst>
    </bk>
    <bk>
      <extLst>
        <ext uri="{3e2802c4-a4d2-4d8b-9148-e3be6c30e623}">
          <xlrd:rvb i="455"/>
        </ext>
      </extLst>
    </bk>
    <bk>
      <extLst>
        <ext uri="{3e2802c4-a4d2-4d8b-9148-e3be6c30e623}">
          <xlrd:rvb i="457"/>
        </ext>
      </extLst>
    </bk>
    <bk>
      <extLst>
        <ext uri="{3e2802c4-a4d2-4d8b-9148-e3be6c30e623}">
          <xlrd:rvb i="460"/>
        </ext>
      </extLst>
    </bk>
    <bk>
      <extLst>
        <ext uri="{3e2802c4-a4d2-4d8b-9148-e3be6c30e623}">
          <xlrd:rvb i="463"/>
        </ext>
      </extLst>
    </bk>
    <bk>
      <extLst>
        <ext uri="{3e2802c4-a4d2-4d8b-9148-e3be6c30e623}">
          <xlrd:rvb i="466"/>
        </ext>
      </extLst>
    </bk>
    <bk>
      <extLst>
        <ext uri="{3e2802c4-a4d2-4d8b-9148-e3be6c30e623}">
          <xlrd:rvb i="469"/>
        </ext>
      </extLst>
    </bk>
    <bk>
      <extLst>
        <ext uri="{3e2802c4-a4d2-4d8b-9148-e3be6c30e623}">
          <xlrd:rvb i="472"/>
        </ext>
      </extLst>
    </bk>
    <bk>
      <extLst>
        <ext uri="{3e2802c4-a4d2-4d8b-9148-e3be6c30e623}">
          <xlrd:rvb i="475"/>
        </ext>
      </extLst>
    </bk>
  </futureMetadata>
  <cellMetadata count="1">
    <bk>
      <rc t="1" v="0"/>
    </bk>
  </cellMetadata>
  <valueMetadata count="164">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bk>
      <rc t="2" v="100"/>
    </bk>
    <bk>
      <rc t="2" v="101"/>
    </bk>
    <bk>
      <rc t="2" v="102"/>
    </bk>
    <bk>
      <rc t="2" v="103"/>
    </bk>
    <bk>
      <rc t="2" v="104"/>
    </bk>
    <bk>
      <rc t="2" v="105"/>
    </bk>
    <bk>
      <rc t="2" v="106"/>
    </bk>
    <bk>
      <rc t="2" v="107"/>
    </bk>
    <bk>
      <rc t="2" v="108"/>
    </bk>
    <bk>
      <rc t="2" v="109"/>
    </bk>
    <bk>
      <rc t="2" v="110"/>
    </bk>
    <bk>
      <rc t="2" v="111"/>
    </bk>
    <bk>
      <rc t="2" v="112"/>
    </bk>
    <bk>
      <rc t="2" v="113"/>
    </bk>
    <bk>
      <rc t="2" v="114"/>
    </bk>
    <bk>
      <rc t="2" v="115"/>
    </bk>
    <bk>
      <rc t="2" v="116"/>
    </bk>
    <bk>
      <rc t="2" v="117"/>
    </bk>
    <bk>
      <rc t="2" v="118"/>
    </bk>
    <bk>
      <rc t="2" v="119"/>
    </bk>
    <bk>
      <rc t="2" v="120"/>
    </bk>
    <bk>
      <rc t="2" v="121"/>
    </bk>
    <bk>
      <rc t="2" v="122"/>
    </bk>
    <bk>
      <rc t="2" v="123"/>
    </bk>
    <bk>
      <rc t="2" v="124"/>
    </bk>
    <bk>
      <rc t="2" v="125"/>
    </bk>
    <bk>
      <rc t="2" v="126"/>
    </bk>
    <bk>
      <rc t="2" v="127"/>
    </bk>
    <bk>
      <rc t="2" v="128"/>
    </bk>
    <bk>
      <rc t="2" v="129"/>
    </bk>
    <bk>
      <rc t="2" v="130"/>
    </bk>
    <bk>
      <rc t="2" v="131"/>
    </bk>
    <bk>
      <rc t="2" v="132"/>
    </bk>
    <bk>
      <rc t="2" v="133"/>
    </bk>
    <bk>
      <rc t="2" v="134"/>
    </bk>
    <bk>
      <rc t="2" v="135"/>
    </bk>
    <bk>
      <rc t="2" v="136"/>
    </bk>
    <bk>
      <rc t="2" v="137"/>
    </bk>
    <bk>
      <rc t="2" v="138"/>
    </bk>
    <bk>
      <rc t="2" v="139"/>
    </bk>
    <bk>
      <rc t="2" v="140"/>
    </bk>
    <bk>
      <rc t="2" v="141"/>
    </bk>
    <bk>
      <rc t="2" v="142"/>
    </bk>
    <bk>
      <rc t="2" v="143"/>
    </bk>
    <bk>
      <rc t="2" v="144"/>
    </bk>
    <bk>
      <rc t="2" v="145"/>
    </bk>
    <bk>
      <rc t="2" v="146"/>
    </bk>
    <bk>
      <rc t="2" v="147"/>
    </bk>
    <bk>
      <rc t="2" v="148"/>
    </bk>
    <bk>
      <rc t="2" v="149"/>
    </bk>
    <bk>
      <rc t="2" v="150"/>
    </bk>
    <bk>
      <rc t="2" v="151"/>
    </bk>
    <bk>
      <rc t="2" v="152"/>
    </bk>
    <bk>
      <rc t="2" v="153"/>
    </bk>
    <bk>
      <rc t="2" v="154"/>
    </bk>
    <bk>
      <rc t="2" v="155"/>
    </bk>
    <bk>
      <rc t="2" v="156"/>
    </bk>
    <bk>
      <rc t="2" v="157"/>
    </bk>
    <bk>
      <rc t="2" v="158"/>
    </bk>
    <bk>
      <rc t="2" v="159"/>
    </bk>
    <bk>
      <rc t="2" v="160"/>
    </bk>
    <bk>
      <rc t="2" v="161"/>
    </bk>
    <bk>
      <rc t="2" v="162"/>
    </bk>
    <bk>
      <rc t="2" v="163"/>
    </bk>
  </valueMetadata>
</metadata>
</file>

<file path=xl/sharedStrings.xml><?xml version="1.0" encoding="utf-8"?>
<sst xmlns="http://schemas.openxmlformats.org/spreadsheetml/2006/main" count="346" uniqueCount="343">
  <si>
    <t>Company</t>
  </si>
  <si>
    <t>Ticker</t>
  </si>
  <si>
    <t>Industry</t>
  </si>
  <si>
    <t>HQ</t>
  </si>
  <si>
    <t>Cash</t>
  </si>
  <si>
    <t>Debt</t>
  </si>
  <si>
    <t>EV</t>
  </si>
  <si>
    <t>Mkt Cap</t>
  </si>
  <si>
    <t>GE Vernova Inc.</t>
  </si>
  <si>
    <t>GEV</t>
  </si>
  <si>
    <t>Duke Energy Corporation</t>
  </si>
  <si>
    <t>DUK</t>
  </si>
  <si>
    <t>NRG Energy, Inc.</t>
  </si>
  <si>
    <t>NRG</t>
  </si>
  <si>
    <t>The Southern Company</t>
  </si>
  <si>
    <t>SO</t>
  </si>
  <si>
    <t>NextEra Energy, Inc.</t>
  </si>
  <si>
    <t>NEE</t>
  </si>
  <si>
    <t>Constellation Energy Corporation</t>
  </si>
  <si>
    <t>CEG</t>
  </si>
  <si>
    <t>PG&amp;E Corporation</t>
  </si>
  <si>
    <t>PCG</t>
  </si>
  <si>
    <t>Exelon Corporation</t>
  </si>
  <si>
    <t>EXC</t>
  </si>
  <si>
    <t>American Electric Power Company, Inc.</t>
  </si>
  <si>
    <t>AEP</t>
  </si>
  <si>
    <t>Edison International</t>
  </si>
  <si>
    <t>EIX</t>
  </si>
  <si>
    <t>Emerson Electric Co.</t>
  </si>
  <si>
    <t>EMR</t>
  </si>
  <si>
    <t>Vistra Corp.</t>
  </si>
  <si>
    <t>VST</t>
  </si>
  <si>
    <t>FirstEnergy Corp.</t>
  </si>
  <si>
    <t>FE</t>
  </si>
  <si>
    <t>Xcel Energy Inc.</t>
  </si>
  <si>
    <t>XEL</t>
  </si>
  <si>
    <t>Eversource Energy</t>
  </si>
  <si>
    <t>ES</t>
  </si>
  <si>
    <t>Entergy Corporation</t>
  </si>
  <si>
    <t>ETR</t>
  </si>
  <si>
    <t>The AES Corporation</t>
  </si>
  <si>
    <t>AES</t>
  </si>
  <si>
    <t>Vertiv Holdings Co</t>
  </si>
  <si>
    <t>VRT</t>
  </si>
  <si>
    <t>PPL Corporation</t>
  </si>
  <si>
    <t>PPL</t>
  </si>
  <si>
    <t>Fortis Inc.</t>
  </si>
  <si>
    <t>FTS</t>
  </si>
  <si>
    <t>Rockwell Automation, Inc.</t>
  </si>
  <si>
    <t>ROK</t>
  </si>
  <si>
    <t>AMETEK, Inc.</t>
  </si>
  <si>
    <t>AME</t>
  </si>
  <si>
    <t>Hydro One Limited</t>
  </si>
  <si>
    <t>H</t>
  </si>
  <si>
    <t>Brookfield Renewable Partners L.P.</t>
  </si>
  <si>
    <t>BEP.UN</t>
  </si>
  <si>
    <t>Emera Incorporated</t>
  </si>
  <si>
    <t>EMA</t>
  </si>
  <si>
    <t>Evergy, Inc.</t>
  </si>
  <si>
    <t>EVRG</t>
  </si>
  <si>
    <t>Regal Rexnord Corporation</t>
  </si>
  <si>
    <t>RRX</t>
  </si>
  <si>
    <t>Hubbell Incorporated</t>
  </si>
  <si>
    <t>HUBB</t>
  </si>
  <si>
    <t>Pinnacle West Capital Corporation</t>
  </si>
  <si>
    <t>PNW</t>
  </si>
  <si>
    <t>Alliant Energy Corporation</t>
  </si>
  <si>
    <t>LNT</t>
  </si>
  <si>
    <t>Acuity Inc.</t>
  </si>
  <si>
    <t>AYI</t>
  </si>
  <si>
    <t>Generac Holdings Inc.</t>
  </si>
  <si>
    <t>GNRC</t>
  </si>
  <si>
    <t>EnerSys</t>
  </si>
  <si>
    <t>ENS</t>
  </si>
  <si>
    <t>Sensata Technologies Holding plc</t>
  </si>
  <si>
    <t>ST</t>
  </si>
  <si>
    <t>Portland General Electric Company</t>
  </si>
  <si>
    <t>POR</t>
  </si>
  <si>
    <t>Nextpower Inc.</t>
  </si>
  <si>
    <t>NXT</t>
  </si>
  <si>
    <t>OGE Energy Corp.</t>
  </si>
  <si>
    <t>OGE</t>
  </si>
  <si>
    <t>Hawaiian Electric Industries, Inc.</t>
  </si>
  <si>
    <t>HE</t>
  </si>
  <si>
    <t>Sunrun Inc.</t>
  </si>
  <si>
    <t>RUN</t>
  </si>
  <si>
    <t>Atkore Inc.</t>
  </si>
  <si>
    <t>ATKR</t>
  </si>
  <si>
    <t>Talen Energy Corporation</t>
  </si>
  <si>
    <t>TLN</t>
  </si>
  <si>
    <t>Capital Power Corporation</t>
  </si>
  <si>
    <t>CPX</t>
  </si>
  <si>
    <t>Fluence Energy, Inc.</t>
  </si>
  <si>
    <t>FLNC</t>
  </si>
  <si>
    <t>TXNM Energy, Inc.</t>
  </si>
  <si>
    <t>TXNM</t>
  </si>
  <si>
    <t>Bloom Energy Corporation</t>
  </si>
  <si>
    <t>BE</t>
  </si>
  <si>
    <t>IDACORP, Inc.</t>
  </si>
  <si>
    <t>IDA</t>
  </si>
  <si>
    <t>Northland Power Inc.</t>
  </si>
  <si>
    <t>NPI</t>
  </si>
  <si>
    <t>TransAlta Corporation</t>
  </si>
  <si>
    <t>TA</t>
  </si>
  <si>
    <t>Otter Tail Corporation</t>
  </si>
  <si>
    <t>OTTR</t>
  </si>
  <si>
    <t>Array Technologies, Inc.</t>
  </si>
  <si>
    <t>ARRY</t>
  </si>
  <si>
    <t>XPLR Infrastructure, LP</t>
  </si>
  <si>
    <t>XIFR</t>
  </si>
  <si>
    <t>Powell Industries, Inc.</t>
  </si>
  <si>
    <t>POWL</t>
  </si>
  <si>
    <t>Ormat Technologies, Inc.</t>
  </si>
  <si>
    <t>ORA</t>
  </si>
  <si>
    <t>Mattr Corp.</t>
  </si>
  <si>
    <t>MATR</t>
  </si>
  <si>
    <t>Forgent Power Solutions, Inc.</t>
  </si>
  <si>
    <t>FPS</t>
  </si>
  <si>
    <t>MGE Energy, Inc.</t>
  </si>
  <si>
    <t>MGEE</t>
  </si>
  <si>
    <t>Power Solutions International, Inc.</t>
  </si>
  <si>
    <t>PSIX</t>
  </si>
  <si>
    <t>Plug Power Inc.</t>
  </si>
  <si>
    <t>PLUG</t>
  </si>
  <si>
    <t>LSI Industries Inc.</t>
  </si>
  <si>
    <t>LYTS</t>
  </si>
  <si>
    <t>Preformed Line Products Company</t>
  </si>
  <si>
    <t>PLPC</t>
  </si>
  <si>
    <t>Hammond Power Solutions Inc.</t>
  </si>
  <si>
    <t>HPS.A</t>
  </si>
  <si>
    <t>Babcock &amp; Wilcox Enterprises, Inc.</t>
  </si>
  <si>
    <t>BW</t>
  </si>
  <si>
    <t>Allient Inc.</t>
  </si>
  <si>
    <t>ALNT</t>
  </si>
  <si>
    <t>GrafTech International Ltd.</t>
  </si>
  <si>
    <t>EAF</t>
  </si>
  <si>
    <t>Genie Energy Ltd.</t>
  </si>
  <si>
    <t>GNE</t>
  </si>
  <si>
    <t>Shoals Technologies Group, Inc.</t>
  </si>
  <si>
    <t>SHLS</t>
  </si>
  <si>
    <t>Hallador Energy Company</t>
  </si>
  <si>
    <t>HNRG</t>
  </si>
  <si>
    <t>Commerce Energy Group, Inc.</t>
  </si>
  <si>
    <t>CMNR</t>
  </si>
  <si>
    <t>ChargePoint Holdings, Inc.</t>
  </si>
  <si>
    <t>CHPT</t>
  </si>
  <si>
    <t>Vicor Corporation</t>
  </si>
  <si>
    <t>VICR</t>
  </si>
  <si>
    <t>SunPower Inc.</t>
  </si>
  <si>
    <t>SPWR</t>
  </si>
  <si>
    <t>American Superconductor Corporation</t>
  </si>
  <si>
    <t>AMSC</t>
  </si>
  <si>
    <t>Energy Vault Holdings, Inc.</t>
  </si>
  <si>
    <t>NRGV</t>
  </si>
  <si>
    <t>Hammond Manufacturing Company Limited</t>
  </si>
  <si>
    <t>HMM.A</t>
  </si>
  <si>
    <t>Ultralife Corporation</t>
  </si>
  <si>
    <t>ULBI</t>
  </si>
  <si>
    <t>ERock, Inc.</t>
  </si>
  <si>
    <t>EROC</t>
  </si>
  <si>
    <t>Montauk Renewables, Inc.</t>
  </si>
  <si>
    <t>MNTK</t>
  </si>
  <si>
    <t>Dialight plc</t>
  </si>
  <si>
    <t>DIA</t>
  </si>
  <si>
    <t>Summer Energy Holdings, Inc.</t>
  </si>
  <si>
    <t>SUME</t>
  </si>
  <si>
    <t>FuelCell Energy, Inc.</t>
  </si>
  <si>
    <t>FCEL</t>
  </si>
  <si>
    <t>Broadwind, Inc.</t>
  </si>
  <si>
    <t>BWEN</t>
  </si>
  <si>
    <t>Stem, Inc.</t>
  </si>
  <si>
    <t>STEM</t>
  </si>
  <si>
    <t>Eos Energy Enterprises, Inc.</t>
  </si>
  <si>
    <t>EOSE</t>
  </si>
  <si>
    <t>Spruce Power Holding Corporation</t>
  </si>
  <si>
    <t>SPRU</t>
  </si>
  <si>
    <t>Capstone Energy+, Inc.</t>
  </si>
  <si>
    <t>CEPL</t>
  </si>
  <si>
    <t>Tigo Energy, Inc.</t>
  </si>
  <si>
    <t>TYGO</t>
  </si>
  <si>
    <t>Blink Charging Co.</t>
  </si>
  <si>
    <t>BLNK</t>
  </si>
  <si>
    <t>FTC Solar, Inc.</t>
  </si>
  <si>
    <t>FTCI</t>
  </si>
  <si>
    <t>Ballard Power Systems Inc.</t>
  </si>
  <si>
    <t>BLDP</t>
  </si>
  <si>
    <t>X-Energy, Inc.</t>
  </si>
  <si>
    <t>XE</t>
  </si>
  <si>
    <t>SKYX Platforms Corp.</t>
  </si>
  <si>
    <t>SKYX</t>
  </si>
  <si>
    <t>SolarMax Technology, Inc.</t>
  </si>
  <si>
    <t>SMXT</t>
  </si>
  <si>
    <t>Orion Energy Systems, Inc.</t>
  </si>
  <si>
    <t>OESX</t>
  </si>
  <si>
    <t>Solar Integrated Roofing Corporation</t>
  </si>
  <si>
    <t>SIRC</t>
  </si>
  <si>
    <t>Polaris Renewable Energy Inc.</t>
  </si>
  <si>
    <t>PIF</t>
  </si>
  <si>
    <t>Amprius Technologies, Inc.</t>
  </si>
  <si>
    <t>AMPX</t>
  </si>
  <si>
    <t>SUNation Energy Inc.</t>
  </si>
  <si>
    <t>SUNE</t>
  </si>
  <si>
    <t>Zeo Energy Corp.</t>
  </si>
  <si>
    <t>ZEO</t>
  </si>
  <si>
    <t>Alaska Power &amp; Telephone Company</t>
  </si>
  <si>
    <t>APTL</t>
  </si>
  <si>
    <t>Electrovaya Inc.</t>
  </si>
  <si>
    <t>ELVA</t>
  </si>
  <si>
    <t>Maxim Power Corp.</t>
  </si>
  <si>
    <t>MXG</t>
  </si>
  <si>
    <t>Dragonfly Energy Holdings Corp.</t>
  </si>
  <si>
    <t>DFLI</t>
  </si>
  <si>
    <t>Lighting Science Group Corporation</t>
  </si>
  <si>
    <t>LSCG</t>
  </si>
  <si>
    <t>Cyberlux Corporation</t>
  </si>
  <si>
    <t>CYBL</t>
  </si>
  <si>
    <t>Espey Mfg. &amp; Electronics Corp.</t>
  </si>
  <si>
    <t>ESP</t>
  </si>
  <si>
    <t>Flux Power Holdings, Inc.</t>
  </si>
  <si>
    <t>FLUX</t>
  </si>
  <si>
    <t>ConnectM Technology Solutions, Inc.</t>
  </si>
  <si>
    <t>CNTM</t>
  </si>
  <si>
    <t>Enovix Corporation</t>
  </si>
  <si>
    <t>ENVX</t>
  </si>
  <si>
    <t>NuScale Power Corporation</t>
  </si>
  <si>
    <t>SMR</t>
  </si>
  <si>
    <t>mPhase Technologies, Inc.</t>
  </si>
  <si>
    <t>XDSL</t>
  </si>
  <si>
    <t>China Solar &amp; Clean Energy Solutions, Inc.</t>
  </si>
  <si>
    <t>CSOL</t>
  </si>
  <si>
    <t>Beam Global</t>
  </si>
  <si>
    <t>BEEM</t>
  </si>
  <si>
    <t>Orbit International Corp.</t>
  </si>
  <si>
    <t>ORBT</t>
  </si>
  <si>
    <t>SES AI Corporation</t>
  </si>
  <si>
    <t>SES</t>
  </si>
  <si>
    <t>SinglePoint Inc.</t>
  </si>
  <si>
    <t>SING</t>
  </si>
  <si>
    <t>Exro Technologies Inc.</t>
  </si>
  <si>
    <t>EXRO.F</t>
  </si>
  <si>
    <t>KULR Technology Group, Inc.</t>
  </si>
  <si>
    <t>KULR</t>
  </si>
  <si>
    <t>Electric &amp; Gas Technology, Inc.</t>
  </si>
  <si>
    <t>ELGT</t>
  </si>
  <si>
    <t>EnSync, Inc.</t>
  </si>
  <si>
    <t>ESNC</t>
  </si>
  <si>
    <t>Expion360 Inc.</t>
  </si>
  <si>
    <t>XPON</t>
  </si>
  <si>
    <t>NeoVolta Inc.</t>
  </si>
  <si>
    <t>NEOV</t>
  </si>
  <si>
    <t>flooidCX Corp.</t>
  </si>
  <si>
    <t>FLCX</t>
  </si>
  <si>
    <t>Hypercharge Networks Corp.</t>
  </si>
  <si>
    <t>HC</t>
  </si>
  <si>
    <t>The Dewey Electronics Corporation</t>
  </si>
  <si>
    <t>DEWY</t>
  </si>
  <si>
    <t>Polar Power, Inc.</t>
  </si>
  <si>
    <t>POLA</t>
  </si>
  <si>
    <t>Camber Energy, Inc.</t>
  </si>
  <si>
    <t>CEIN</t>
  </si>
  <si>
    <t>Surge Technologies Inc.</t>
  </si>
  <si>
    <t>STCI</t>
  </si>
  <si>
    <t>Energous Corporation</t>
  </si>
  <si>
    <t>WATT</t>
  </si>
  <si>
    <t>Home Energy Savings Corp.</t>
  </si>
  <si>
    <t>HESV</t>
  </si>
  <si>
    <t>Nuvve Holding Corp.</t>
  </si>
  <si>
    <t>NVVE</t>
  </si>
  <si>
    <t>Ocean Power Technologies, Inc.</t>
  </si>
  <si>
    <t>OPTT</t>
  </si>
  <si>
    <t>Kontrol Technologies Corp.</t>
  </si>
  <si>
    <t>KNRL.F</t>
  </si>
  <si>
    <t>ReVolve Renewable Power Corp.</t>
  </si>
  <si>
    <t>REVV</t>
  </si>
  <si>
    <t>Solar Alliance Energy Inc.</t>
  </si>
  <si>
    <t>SOLR</t>
  </si>
  <si>
    <t>Blue Sphere Corporation</t>
  </si>
  <si>
    <t>BLSP</t>
  </si>
  <si>
    <t>CGE Energy Inc.</t>
  </si>
  <si>
    <t>CGEI</t>
  </si>
  <si>
    <t>Energy Focus, Inc.</t>
  </si>
  <si>
    <t>EFOI</t>
  </si>
  <si>
    <t>Hyliion Holdings Corp.</t>
  </si>
  <si>
    <t>HYLN</t>
  </si>
  <si>
    <t>Stardust Solar Energy Inc.</t>
  </si>
  <si>
    <t>SUN</t>
  </si>
  <si>
    <t>Advent Technologies Holdings, Inc.</t>
  </si>
  <si>
    <t>ADNH</t>
  </si>
  <si>
    <t>Ocean Thermal Energy Corporation</t>
  </si>
  <si>
    <t>CPWR</t>
  </si>
  <si>
    <t>City Capital Corporation</t>
  </si>
  <si>
    <t>CTCC</t>
  </si>
  <si>
    <t>Reservoir Capital Corp.</t>
  </si>
  <si>
    <t>RSER.F</t>
  </si>
  <si>
    <t>Clear Blue Technologies International Inc.</t>
  </si>
  <si>
    <t>CBLU</t>
  </si>
  <si>
    <t>Braille Energy Systems Inc.</t>
  </si>
  <si>
    <t>BES</t>
  </si>
  <si>
    <t>IX Energy Holdings, Inc.</t>
  </si>
  <si>
    <t>IXEH</t>
  </si>
  <si>
    <t>Hybrid Power Solutions Inc.</t>
  </si>
  <si>
    <t>HPSS</t>
  </si>
  <si>
    <t>SPARQ Systems Inc.</t>
  </si>
  <si>
    <t>SPRQ</t>
  </si>
  <si>
    <t>ESS Tech, Inc.</t>
  </si>
  <si>
    <t>GWH</t>
  </si>
  <si>
    <t>Generation Alpha, Inc.</t>
  </si>
  <si>
    <t>GNAL</t>
  </si>
  <si>
    <t>Triad Pro Innovators, Inc.</t>
  </si>
  <si>
    <t>TPII</t>
  </si>
  <si>
    <t>Powerdyne International, Inc.</t>
  </si>
  <si>
    <t>PWDY</t>
  </si>
  <si>
    <t>Dynastar Holdings, Inc.</t>
  </si>
  <si>
    <t>DYNA</t>
  </si>
  <si>
    <t>Alternative Energy Technology, Inc.</t>
  </si>
  <si>
    <t>ATNE</t>
  </si>
  <si>
    <t>Renewable Energy and Power, Inc.</t>
  </si>
  <si>
    <t>RBNW</t>
  </si>
  <si>
    <t>Tesla</t>
  </si>
  <si>
    <t>TSLA</t>
  </si>
  <si>
    <t>SpaceX</t>
  </si>
  <si>
    <t>SPCX</t>
  </si>
  <si>
    <t>Digital Reality Trust, Inc</t>
  </si>
  <si>
    <t>DLR</t>
  </si>
  <si>
    <t>Equinix, Inc</t>
  </si>
  <si>
    <t>EQIX</t>
  </si>
  <si>
    <t>CoreWeave, Inc.</t>
  </si>
  <si>
    <t>CRWV</t>
  </si>
  <si>
    <t>Oklo Inc.</t>
  </si>
  <si>
    <t>OKLO</t>
  </si>
  <si>
    <t>Eaton Corporation plc</t>
  </si>
  <si>
    <t>ETN</t>
  </si>
  <si>
    <t>Schneider Electric S.E.</t>
  </si>
  <si>
    <t>SBGSY</t>
  </si>
  <si>
    <t>Cisco Systems, Inc.</t>
  </si>
  <si>
    <t>CSCO</t>
  </si>
  <si>
    <t>NVIDIA Corporation</t>
  </si>
  <si>
    <t>NVDA</t>
  </si>
  <si>
    <t>FIRST SOLAR, INC.</t>
  </si>
  <si>
    <t>FSLR</t>
  </si>
  <si>
    <t>Link</t>
  </si>
  <si>
    <t>Price</t>
  </si>
  <si>
    <t>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</si>
</sst>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quot;$&quot;* #,##0.00_);_(&quot;$&quot;* \(#,##0.00\);_(&quot;$&quot;* &quot;-&quot;??_);_(@_)"/>
    <numFmt numFmtId="43" formatCode="_(* #,##0.00_);_(* \(#,##0.00\);_(* &quot;-&quot;??_);_(@_)"/>
    <numFmt numFmtId="164" formatCode="_([$$-409]* #,##0.00_);_([$$-409]* \(#,##0.00\);_([$$-409]* &quot;-&quot;??_);_(@_)"/>
    <numFmt numFmtId="174" formatCode="_(&quot;$&quot;* #,##0_);_(&quot;$&quot;* \(#,##0\);_(&quot;$&quot;* &quot;-&quot;??_);_(@_)"/>
  </numFmts>
  <fonts count="5" x14ac:knownFonts="1">
    <font>
      <sz val="12"/>
      <color theme="1"/>
      <name val="Aptos Narrow"/>
      <family val="2"/>
      <scheme val="minor"/>
    </font>
    <font>
      <u/>
      <sz val="12"/>
      <color theme="10"/>
      <name val="Aptos Narrow"/>
      <family val="2"/>
      <scheme val="minor"/>
    </font>
    <font>
      <b/>
      <sz val="12"/>
      <color theme="1"/>
      <name val="Aptos Narrow"/>
      <scheme val="minor"/>
    </font>
    <font>
      <sz val="12"/>
      <color theme="1"/>
      <name val="Aptos Narrow"/>
      <family val="2"/>
      <scheme val="minor"/>
    </font>
    <font>
      <sz val="12"/>
      <name val="Aptos Narrow"/>
      <family val="2"/>
      <scheme val="minor"/>
    </font>
  </fonts>
  <fills count="2">
    <fill>
      <patternFill patternType="none"/>
    </fill>
    <fill>
      <patternFill patternType="gray125"/>
    </fill>
  </fills>
  <borders count="1">
    <border>
      <left/>
      <right/>
      <top/>
      <bottom/>
      <diagonal/>
    </border>
  </borders>
  <cellStyleXfs count="4">
    <xf numFmtId="0" fontId="0" fillId="0" borderId="0"/>
    <xf numFmtId="0" fontId="1" fillId="0" borderId="0"/>
    <xf numFmtId="43" fontId="3" fillId="0" borderId="0" applyFont="0" applyFill="0" applyBorder="0" applyAlignment="0" applyProtection="0"/>
    <xf numFmtId="44" fontId="3" fillId="0" borderId="0" applyFont="0" applyFill="0" applyBorder="0" applyAlignment="0" applyProtection="0"/>
  </cellStyleXfs>
  <cellXfs count="8">
    <xf numFmtId="0" fontId="0" fillId="0" borderId="0" xfId="0"/>
    <xf numFmtId="0" fontId="0" fillId="0" borderId="0" xfId="0" applyAlignment="1">
      <alignment horizontal="left" vertical="top"/>
    </xf>
    <xf numFmtId="0" fontId="1" fillId="0" borderId="0" xfId="1" applyAlignment="1">
      <alignment horizontal="left" vertical="top"/>
    </xf>
    <xf numFmtId="0" fontId="2" fillId="0" borderId="0" xfId="0" applyFont="1"/>
    <xf numFmtId="0" fontId="4" fillId="0" borderId="0" xfId="1" applyFont="1" applyAlignment="1">
      <alignment horizontal="left" vertical="top"/>
    </xf>
    <xf numFmtId="164" fontId="0" fillId="0" borderId="0" xfId="0" applyNumberFormat="1"/>
    <xf numFmtId="43" fontId="0" fillId="0" borderId="0" xfId="2" applyNumberFormat="1" applyFont="1"/>
    <xf numFmtId="174" fontId="0" fillId="0" borderId="0" xfId="3" applyNumberFormat="1" applyFont="1"/>
  </cellXfs>
  <cellStyles count="4">
    <cellStyle name="Comma" xfId="2" builtinId="3"/>
    <cellStyle name="Currency" xfId="3" builtinId="4"/>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06/relationships/richStyles" Target="richData/richStyles.xml"/><Relationship Id="rId13" Type="http://schemas.openxmlformats.org/officeDocument/2006/relationships/calcChain" Target="calcChain.xml"/><Relationship Id="rId3" Type="http://schemas.openxmlformats.org/officeDocument/2006/relationships/styles" Target="styles.xml"/><Relationship Id="rId7" Type="http://schemas.microsoft.com/office/2017/06/relationships/rdRichValueStructure" Target="richData/rdrichvaluestructure.xml"/><Relationship Id="rId12" Type="http://schemas.microsoft.com/office/2017/10/relationships/person" Target="persons/person.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06/relationships/rdRichValue" Target="richData/rdrichvalue.xml"/><Relationship Id="rId11" Type="http://schemas.microsoft.com/office/2017/06/relationships/rdRichValueTypes" Target="richData/rdRichValueTypes.xml"/><Relationship Id="rId5" Type="http://schemas.openxmlformats.org/officeDocument/2006/relationships/sheetMetadata" Target="metadata.xml"/><Relationship Id="rId10" Type="http://schemas.microsoft.com/office/2017/06/relationships/rdSupportingPropertyBag" Target="richData/rdsupportingpropertybag.xml"/><Relationship Id="rId4" Type="http://schemas.openxmlformats.org/officeDocument/2006/relationships/sharedStrings" Target="sharedStrings.xml"/><Relationship Id="rId9" Type="http://schemas.microsoft.com/office/2017/06/relationships/rdSupportingPropertyBagStructure" Target="richData/rdsupportingpropertybagstructure.xml"/></Relationships>
</file>

<file path=xl/persons/person.xml><?xml version="1.0" encoding="utf-8"?>
<personList xmlns="http://schemas.microsoft.com/office/spreadsheetml/2018/threadedcomments" xmlns:x="http://schemas.openxmlformats.org/spreadsheetml/2006/main"/>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476">
  <rv s="0">
    <v>0</v>
    <v>GE VERNOVA INC. (XNYS:GEV)</v>
    <v>2</v>
    <v>3</v>
    <v>Finance</v>
    <v>4</v>
    <v>en-US</v>
    <v>ccmvww</v>
    <v>268435456</v>
    <v>1</v>
    <v>Powered by Refinitiv</v>
    <v>1195.94</v>
    <v>530.16</v>
    <v>1.276</v>
    <v>1.54</v>
    <v>1.621E-3</v>
    <v>0.68</v>
    <v>7.1440000000000002E-4</v>
    <v>USD</v>
    <v>GE Vernova Inc. is engaged in the electric power industry, with products and services that generate, transfer, orchestrate, convert, and store electricity. It designs, manufactures, delivers, and services technologies to create a sustainable electric power system, enabling electrification and decarbonization. Power segment includes the design, manufacture, and servicing of gas, nuclear, hydro, and steam technologies, providing a critical foundation of dispatchable, flexible, stable, and reliable power. Wind segment includes its wind generation technologies, inclusive of onshore and offshore wind turbines and blades. The electrification segment includes grid solutions, power conversion and storage, and electrification software technologies required for the transmission, distribution, conversion, storage, and orchestration of electricity from point of generation to point of consumption. Its accelerator business includes advanced research, consulting services and financial services.</v>
    <v>75000</v>
    <v>New York Stock Exchange</v>
    <v>XNYS</v>
    <v>XNYS</v>
    <v>58 Charles Street, CAMBRIDGE, MA, 02141 US</v>
    <v>954.77</v>
    <v>Electrical Utilities &amp; IPPs</v>
    <v>Stock</v>
    <v>46288.999841423436</v>
    <v>934.47</v>
    <v>253501647152</v>
    <v>GE VERNOVA INC.</v>
    <v>GE VERNOVA INC.</v>
    <v>950</v>
    <v>27.2075</v>
    <v>950.28</v>
    <v>951.82</v>
    <v>952.5</v>
    <v>266333600</v>
    <v>GEV</v>
    <v>GE VERNOVA INC. (XNYS:GEV)</v>
    <v>1681196</v>
    <v>2292789</v>
    <v>2023</v>
  </rv>
  <rv s="1">
    <v>0</v>
  </rv>
  <rv s="2">
    <v>https://www.bing.com/financeapi/forcetrigger?t=a1rdzr&amp;q=XNYS%3aDUK&amp;form=skydnc</v>
    <v>Learn more on Bing</v>
  </rv>
  <rv s="3">
    <v>5</v>
    <v>DUKE ENERGY CORPORATION (XNYS:DUK)</v>
    <v>6</v>
    <v>3</v>
    <v>Finance</v>
    <v>4</v>
    <v>en-US</v>
    <v>a1rdzr</v>
    <v>268435456</v>
    <v>1</v>
    <v>Powered by Refinitiv</v>
    <v>134.49</v>
    <v>113.895</v>
    <v>0.33939999999999998</v>
    <v>-2.14</v>
    <v>-1.8399000000000002E-2</v>
    <v>0.25</v>
    <v>2.1900000000000001E-3</v>
    <v>USD</v>
    <v>Duke Energy Corporation is an energy-holding company. The Company's segments include Electric Utilities and Infrastructure (EU&amp;I) and Gas Utilities and Infrastructure (GU&amp;I). EU&amp;I segment conducts operations primarily through the regulated public utilities of Duke Energy Carolinas, Duke Energy Progress, Duke Energy Florida, Duke Energy Indiana and Duke Energy Ohio. EU&amp;I provides retail electric service through the generation, transmission, distribution and sale of electricity to approximately 8.7 million customers within the Southeast and Midwest regions of the U.S. GU&amp;I segment conducts natural gas operations primarily through the regulated public utilities of Piedmont, Duke Energy Ohio and Duke Energy Kentucky. GU&amp;I serves residential, commercial, industrial and power generation natural gas customers, including customers served by municipalities who are wholesale customers. It also purchases a diverse portfolio of transportation and storage services from interstate pipelines.</v>
    <v>26441</v>
    <v>New York Stock Exchange</v>
    <v>XNYS</v>
    <v>XNYS</v>
    <v>525 South Tryon Street, CHARLOTTE, NC, 28202-1803 US</v>
    <v>116.01</v>
    <v>Electrical Utilities &amp; IPPs</v>
    <v>Stock</v>
    <v>46288.993652661717</v>
    <v>2</v>
    <v>114.10120000000001</v>
    <v>89018600174</v>
    <v>DUKE ENERGY CORPORATION</v>
    <v>DUKE ENERGY CORPORATION</v>
    <v>116</v>
    <v>17.186499999999999</v>
    <v>116.31</v>
    <v>114.17</v>
    <v>114.42</v>
    <v>779702200</v>
    <v>DUK</v>
    <v>DUKE ENERGY CORPORATION (XNYS:DUK)</v>
    <v>3884048</v>
    <v>3816067</v>
    <v>2005</v>
  </rv>
  <rv s="1">
    <v>3</v>
  </rv>
  <rv s="2">
    <v>https://www.bing.com/financeapi/forcetrigger?t=a1ypc7&amp;q=XNYS%3aNRG&amp;form=skydnc</v>
    <v>Learn more on Bing</v>
  </rv>
  <rv s="3">
    <v>5</v>
    <v>NRG ENERGY, INC. (XNYS:NRG)</v>
    <v>6</v>
    <v>3</v>
    <v>Finance</v>
    <v>4</v>
    <v>en-US</v>
    <v>a1ypc7</v>
    <v>268435456</v>
    <v>1</v>
    <v>Powered by Refinitiv</v>
    <v>189.96</v>
    <v>100.13</v>
    <v>1.1438999999999999</v>
    <v>-2.0299999999999998</v>
    <v>-1.9757E-2</v>
    <v>0.64970000000000006</v>
    <v>6.4510000000000001E-3</v>
    <v>USD</v>
    <v>NRG Energy, Inc. is an energy and home services company. The Company’s businesses are the sale of electricity and natural gas to residential, commercial, and industrial and wholesale customers, supported by its wholesale electric generation, as well as the sale of smart home products and services. Across the United States and Canada, the Company delivers sustainable solutions, predominately under brand names such as NRG, Reliant, Direct Energy, Green Mountain Energy, and Vivint. Its segments include Texas, East, West/Services/Other, Vivint Smart Home and Corporate activities. It sells a variety of products to residential and small commercial customers, including retail electricity and energy management, natural gas, line and surge protection products and home protection products, repair and maintenance, and carbon offsets. It owns and leases a diversified wholesale generation portfolio with approximately 13 gigawatts of fossil fuel and renewable generation capacity at 18 plants.</v>
    <v>16702</v>
    <v>New York Stock Exchange</v>
    <v>XNYS</v>
    <v>XNYS</v>
    <v>910 Louisiana Street, HOUSTON, TX, 77002 US</v>
    <v>102.42</v>
    <v>Electrical Utilities &amp; IPPs</v>
    <v>Stock</v>
    <v>46288.999628147656</v>
    <v>5</v>
    <v>100.13</v>
    <v>21172401560</v>
    <v>NRG ENERGY, INC.</v>
    <v>NRG ENERGY, INC.</v>
    <v>102</v>
    <v>26.659600000000001</v>
    <v>102.75</v>
    <v>100.72</v>
    <v>101.36969999999999</v>
    <v>210210500</v>
    <v>NRG</v>
    <v>NRG ENERGY, INC. (XNYS:NRG)</v>
    <v>2548364</v>
    <v>2792499</v>
    <v>1992</v>
  </rv>
  <rv s="1">
    <v>6</v>
  </rv>
  <rv s="2">
    <v>https://www.bing.com/financeapi/forcetrigger?t=a23a5r&amp;q=XNYS%3aSO&amp;form=skydnc</v>
    <v>Learn more on Bing</v>
  </rv>
  <rv s="3">
    <v>5</v>
    <v>THE SOUTHERN COMPANY (XNYS:SO)</v>
    <v>6</v>
    <v>3</v>
    <v>Finance</v>
    <v>4</v>
    <v>en-US</v>
    <v>a23a5r</v>
    <v>268435456</v>
    <v>1</v>
    <v>Powered by Refinitiv</v>
    <v>100.83499999999999</v>
    <v>83.21</v>
    <v>0.29409999999999997</v>
    <v>-1.68</v>
    <v>-1.9730000000000001E-2</v>
    <v>0.43</v>
    <v>5.1520000000000003E-3</v>
    <v>USD</v>
    <v>The Southern Company is an energy provider. The Company owns three traditional electric operating companies, Southern Power Company and Southern Company Gas. The traditional electric operating companies-Alabama Power, Georgia Power and Mississippi Power-are operating public utility companies providing electric service to retail customers in three Southeastern states in addition to wholesale customers in the Southeast. The Southern Power Company develops, constructs, acquires, owns, and manages power generation assets, including battery energy storage projects, and sells electricity at market-based rates in the wholesale market. The Southern Company Gas is an energy services holding company whose primary business is the distribution of natural gas in four states - Illinois, Georgia, Virginia, and Tennessee, through the natural gas distribution utilities. Southern Company Gas is also involved in several other businesses that are complementary to the distribution of natural gas.</v>
    <v>29800</v>
    <v>New York Stock Exchange</v>
    <v>XNYS</v>
    <v>XNYS</v>
    <v>30 Ivan Allen Jr. Blvd., N.W., ATLANTA, GA, 30308 US</v>
    <v>84.9</v>
    <v>Electrical Utilities &amp; IPPs</v>
    <v>Stock</v>
    <v>46288.993132164062</v>
    <v>8</v>
    <v>83.21</v>
    <v>96020799610</v>
    <v>THE SOUTHERN COMPANY</v>
    <v>THE SOUTHERN COMPANY</v>
    <v>84.76</v>
    <v>20.1297</v>
    <v>85.15</v>
    <v>83.47</v>
    <v>83.9</v>
    <v>1150363000</v>
    <v>SO</v>
    <v>THE SOUTHERN COMPANY (XNYS:SO)</v>
    <v>5572817</v>
    <v>6122736</v>
    <v>1945</v>
  </rv>
  <rv s="1">
    <v>9</v>
  </rv>
  <rv s="2">
    <v>https://www.bing.com/financeapi/forcetrigger?t=a1ye2w&amp;q=XNYS%3aNEE&amp;form=skydnc</v>
    <v>Learn more on Bing</v>
  </rv>
  <rv s="3">
    <v>5</v>
    <v>NEXTERA ENERGY, INC. (XNYS:NEE)</v>
    <v>6</v>
    <v>3</v>
    <v>Finance</v>
    <v>4</v>
    <v>en-US</v>
    <v>a1ye2w</v>
    <v>268435456</v>
    <v>1</v>
    <v>Powered by Refinitiv</v>
    <v>98.75</v>
    <v>71.724999999999994</v>
    <v>0.63</v>
    <v>-2.2400000000000002</v>
    <v>-2.8260999999999998E-2</v>
    <v>0.17</v>
    <v>2.2070000000000002E-3</v>
    <v>USD</v>
    <v>NextEra Energy, Inc. is an electric power and energy infrastructure company. It operates through its wholly owned subsidiaries, NextEra Energy Resources, LLC and NextEra Energy Transmission, LLC (collectively, NEER) and Florida Power &amp; Light Company (FPL). Its segments include NEER and FPL. FPL segment is a rate-regulated electric utility engaged in the generation, transmission, distribution and sale of electric energy in Florida. FPL has approximately 35,052 megawatts of net generating capacity, over 91,000 circuit miles of transmission and distribution lines and 921 substations. The NEER segment owns, develops, constructs, manages and operates electric generation facilities in wholesale energy markets in the United States and Canada and includes assets and investments in other businesses with a clean energy focus, such as battery storage, natural gas pipelines, and renewable fuels. It owns, develops, constructs and operates rate-regulated transmission facilities in North America.</v>
    <v>17400</v>
    <v>New York Stock Exchange</v>
    <v>XNYS</v>
    <v>XNYS</v>
    <v>700 Universe Blvd, JUNO BEACH, FL, 33408 US</v>
    <v>79.040000000000006</v>
    <v>Electrical Utilities &amp; IPPs</v>
    <v>Stock</v>
    <v>46288.99968599531</v>
    <v>11</v>
    <v>76.87</v>
    <v>160662025560</v>
    <v>NEXTERA ENERGY, INC.</v>
    <v>NEXTERA ENERGY, INC.</v>
    <v>79.040000000000006</v>
    <v>17.281500000000001</v>
    <v>79.260000000000005</v>
    <v>77.02</v>
    <v>77.19</v>
    <v>2085978000</v>
    <v>NEE</v>
    <v>NEXTERA ENERGY, INC. (XNYS:NEE)</v>
    <v>12677121</v>
    <v>11139271</v>
    <v>1984</v>
  </rv>
  <rv s="1">
    <v>12</v>
  </rv>
  <rv s="2">
    <v>https://www.bing.com/financeapi/forcetrigger?t=c4xjc7&amp;q=XNAS%3aCEG&amp;form=skydnc</v>
    <v>Learn more on Bing</v>
  </rv>
  <rv s="3">
    <v>5</v>
    <v>CONSTELLATION ENERGY CORPORATION. (XNAS:CEG)</v>
    <v>6</v>
    <v>3</v>
    <v>Finance</v>
    <v>4</v>
    <v>en-US</v>
    <v>c4xjc7</v>
    <v>268435456</v>
    <v>1</v>
    <v>Powered by Refinitiv</v>
    <v>412.7</v>
    <v>228.63</v>
    <v>1.1165</v>
    <v>0.42</v>
    <v>1.5939999999999999E-3</v>
    <v>0.12</v>
    <v>4.548E-4</v>
    <v>USD</v>
    <v>Constellation Energy Corporation is a producer of emissions-free energy and an energy supplier to businesses, homes and public sector customers nationwide. The Company’s nuclear, hydro, wind, and solar generation facilities have the generating capacity to power the equivalent of 27 million homes, providing about 10% of the nation’s clean energy. Its segments include Mid-Atlantic, Midwest, New York, ERCOT, and Other Power Regions. Through its integrated business operations, it sells electricity, natural gas, and other energy-related products and sustainable solutions to various types of customers, including distribution utilities, municipalities, cooperatives, commercial, industrial, public sector, and residential customers in markets across multiple geographic regions. It operates approximately 55 gigawatts of capacity from nuclear, natural gas, geothermal, hydro, wind and solar facilities.</v>
    <v>15291</v>
    <v>Nasdaq Stock Market</v>
    <v>XNAS</v>
    <v>XNAS</v>
    <v>1310 Point Street, BALTIMORE, MD, 21231 US</v>
    <v>264.23</v>
    <v>Electrical Utilities &amp; IPPs</v>
    <v>Stock</v>
    <v>46288.99840372656</v>
    <v>14</v>
    <v>258.11</v>
    <v>93494636712</v>
    <v>CONSTELLATION ENERGY CORPORATION.</v>
    <v>CONSTELLATION ENERGY CORPORATION.</v>
    <v>261.92</v>
    <v>25.7103</v>
    <v>263.45999999999998</v>
    <v>263.88</v>
    <v>264</v>
    <v>354307400</v>
    <v>CEG</v>
    <v>CONSTELLATION ENERGY CORPORATION. (XNAS:CEG)</v>
    <v>2984182</v>
    <v>2816623</v>
    <v>2021</v>
  </rv>
  <rv s="1">
    <v>15</v>
  </rv>
  <rv s="2">
    <v>http://en.wikipedia.org/wiki/Public_domain</v>
    <v>Public domain</v>
  </rv>
  <rv s="2">
    <v>http://zh.wikipedia.org/wiki/太平洋瓦電公司</v>
    <v>Wikipedia</v>
  </rv>
  <rv s="4">
    <v>17</v>
    <v>18</v>
  </rv>
  <rv s="5">
    <v>11</v>
    <v>https://www.bing.com/th?id=AMMS_d7c2863336a8698ebd1054cdf3b7bcff&amp;qlt=95</v>
    <v>19</v>
    <v>0</v>
    <v>https://www.bing.com/images/search?form=xlimg&amp;q=pacific+gas+and+electric+company</v>
    <v>Image of PG&amp;E CORPORATION</v>
  </rv>
  <rv s="2">
    <v>https://www.bing.com/financeapi/forcetrigger?t=a1zkar&amp;q=XNYS%3aPCG&amp;form=skydnc</v>
    <v>Learn more on Bing</v>
  </rv>
  <rv s="6">
    <v>7</v>
    <v>PG&amp;E CORPORATION (XNYS:PCG)</v>
    <v>9</v>
    <v>10</v>
    <v>Finance</v>
    <v>4</v>
    <v>en-US</v>
    <v>a1zkar</v>
    <v>268435456</v>
    <v>1</v>
    <v>Powered by Refinitiv</v>
    <v>19.155000000000001</v>
    <v>12.38</v>
    <v>0.26960000000000001</v>
    <v>-0.47</v>
    <v>-3.6490999999999996E-2</v>
    <v>3.9199999999999999E-2</v>
    <v>3.1590000000000003E-3</v>
    <v>USD</v>
    <v>PG&amp;E Corporation is a holding company. The Company's primary operating subsidiary is Pacific Gas and Electric Company (the Utility), a public utility operating in Northern and Central California. The Utility is engaged in the sale and delivery of electricity and natural gas to customers. The Utility generates electricity and provides electric transmission and distribution services throughout its service area in northern and central California to residential, commercial, industrial, and agricultural customers. The Utility provides electricity, transmission, and distribution services in its service area. The Utility owns approximately 18,000 circuit miles of interconnected transmission lines operating at voltages ranging from 60 kilovolts (kV) to 500 kV. The Utility also operates 33 electric transmission substations with a capacity of approximately 67,000 megavolt amperes (MVA). Customers can also obtain electricity from alternative providers such as municipalities (CCAs).</v>
    <v>10</v>
    <v>New York Stock Exchange</v>
    <v>XNYS</v>
    <v>XNYS</v>
    <v>300 Lakeside Drive, OAKLAND, CA, 94612 US</v>
    <v>12.75</v>
    <v>20</v>
    <v>Electrical Utilities &amp; IPPs</v>
    <v>Stock</v>
    <v>46288.999613575783</v>
    <v>21</v>
    <v>12.38</v>
    <v>27331374470</v>
    <v>PG&amp;E CORPORATION</v>
    <v>PG&amp;E CORPORATION</v>
    <v>12.6</v>
    <v>9.0564</v>
    <v>12.88</v>
    <v>12.41</v>
    <v>12.449199999999999</v>
    <v>2202367000</v>
    <v>PCG</v>
    <v>PG&amp;E CORPORATION (XNYS:PCG)</v>
    <v>49334617</v>
    <v>51622337</v>
    <v>1995</v>
  </rv>
  <rv s="1">
    <v>22</v>
  </rv>
  <rv s="2">
    <v>https://www.bing.com/financeapi/forcetrigger?t=a1shjc&amp;q=XNAS%3aEXC&amp;form=skydnc</v>
    <v>Learn more on Bing</v>
  </rv>
  <rv s="3">
    <v>5</v>
    <v>EXELON CORPORATION (XNAS:EXC)</v>
    <v>6</v>
    <v>3</v>
    <v>Finance</v>
    <v>4</v>
    <v>en-US</v>
    <v>a1shjc</v>
    <v>268435456</v>
    <v>1</v>
    <v>Powered by Refinitiv</v>
    <v>50.65</v>
    <v>40.615000000000002</v>
    <v>0.28889999999999999</v>
    <v>-1.1100000000000001</v>
    <v>-2.6554999999999999E-2</v>
    <v>0.1</v>
    <v>2.4580000000000001E-3</v>
    <v>USD</v>
    <v>Exelon Corporation is a utility services holding company engaged in the energy transmission and distribution businesses through its subsidiaries, Commonwealth Edison Company (ComEd), PECO Energy Company (PECO), Baltimore Gas and Electric Company (BGE), Potomac Electric Power Company (Pepco), Delmarva Power &amp; Light Company (DPL) and Atlantic City Electric Company (ACE). Its segments include ComEd, PECO, BGE, Pepco, DPL and ACE. ComEd segment is engaged in purchasing and regulating the retail sale of electricity. PECO segment is engaged in purchasing and regulating the retail sale of electricity and natural gas. BGE segment is focused on transmission and distribution of electricity and distribution of natural gas to retail customers. Through its business services subsidiary, Exelon Business Services Company, LLC (BSC), it provides its subsidiaries with a variety of support services at cost, including legal, human resources, finance, information technology and supply management services.</v>
    <v>20000</v>
    <v>Nasdaq Stock Market</v>
    <v>XNAS</v>
    <v>XNAS</v>
    <v>10 S. Dearborn Street, Po Box 805379, CHICAGO, IL, 60680-5379 US</v>
    <v>41.62</v>
    <v>Electrical Utilities &amp; IPPs</v>
    <v>Stock</v>
    <v>46288.996641157028</v>
    <v>24</v>
    <v>40.615000000000002</v>
    <v>42002415260</v>
    <v>EXELON CORPORATION</v>
    <v>EXELON CORPORATION</v>
    <v>41.57</v>
    <v>14.9053</v>
    <v>41.8</v>
    <v>40.69</v>
    <v>40.79</v>
    <v>1032254000</v>
    <v>EXC</v>
    <v>EXELON CORPORATION (XNAS:EXC)</v>
    <v>7039362</v>
    <v>7034774</v>
    <v>1999</v>
  </rv>
  <rv s="1">
    <v>25</v>
  </rv>
  <rv s="2">
    <v>https://www.bing.com/financeapi/forcetrigger?t=a1mybh&amp;q=XNAS%3aAEP&amp;form=skydnc</v>
    <v>Learn more on Bing</v>
  </rv>
  <rv s="3">
    <v>5</v>
    <v>AMERICAN ELECTRIC POWER COMPANY, INC. (XNAS:AEP)</v>
    <v>6</v>
    <v>3</v>
    <v>Finance</v>
    <v>4</v>
    <v>en-US</v>
    <v>a1mybh</v>
    <v>268435456</v>
    <v>1</v>
    <v>Powered by Refinitiv</v>
    <v>140.58000000000001</v>
    <v>106.77500000000001</v>
    <v>0.46510000000000001</v>
    <v>-1.87</v>
    <v>-1.5547999999999999E-2</v>
    <v>0.15</v>
    <v>1.2670000000000001E-3</v>
    <v>USD</v>
    <v>American Electric Power Company, Inc. is an electric public utility holding company. Its electric utility operating companies provide generation, transmission and distribution services to more than five million retail customers in Arkansas, Indiana, Kentucky, Louisiana, Michigan, Ohio, Oklahoma, Tennessee, Texas, Virginia and West Virginia. Its segments include Vertically Integrated Utilities, Transmission and Distribution Utilities, AEP Transmission Holdco and Generation &amp; Marketing. The Vertically Integrated Utilities are engaged in the generation, transmission and distribution of electricity for sale to retail and wholesale customers. The Transmission and Distribution Utilities consist of the transmission and distribution of electricity for sale to retail and wholesale customers. AEP Transmission Holdco is engaged in the development, construction and operation of transmission facilities. The Generation &amp; Marketing segment conducts Marketing, risk management and retail activities.</v>
    <v>17581</v>
    <v>Nasdaq Stock Market</v>
    <v>XNAS</v>
    <v>XNAS</v>
    <v>1 Riverside Plz, COLUMBUS, OH, 43215-2355 US</v>
    <v>119.88</v>
    <v>Electrical Utilities &amp; IPPs</v>
    <v>Stock</v>
    <v>46288.999864027341</v>
    <v>27</v>
    <v>117.95</v>
    <v>64456640320</v>
    <v>AMERICAN ELECTRIC POWER COMPANY, INC.</v>
    <v>AMERICAN ELECTRIC POWER COMPANY, INC.</v>
    <v>119.88</v>
    <v>20.824200000000001</v>
    <v>120.27</v>
    <v>118.4</v>
    <v>118.55</v>
    <v>544397300</v>
    <v>AEP</v>
    <v>AMERICAN ELECTRIC POWER COMPANY, INC. (XNAS:AEP)</v>
    <v>5493991</v>
    <v>3776143</v>
    <v>1925</v>
  </rv>
  <rv s="1">
    <v>28</v>
  </rv>
  <rv s="2">
    <v>https://www.bing.com/financeapi/forcetrigger?t=a1ru6h&amp;q=XNYS%3aEIX&amp;form=skydnc</v>
    <v>Learn more on Bing</v>
  </rv>
  <rv s="7">
    <v>12</v>
    <v>EDISON INTERNATIONAL (XNYS:EIX)</v>
    <v>6</v>
    <v>13</v>
    <v>Finance</v>
    <v>4</v>
    <v>en-US</v>
    <v>a1ru6h</v>
    <v>268435456</v>
    <v>1</v>
    <v>Powered by Refinitiv</v>
    <v>81.62</v>
    <v>52</v>
    <v>0.6099</v>
    <v>-1.54</v>
    <v>-2.7975E-2</v>
    <v>0.23</v>
    <v>4.2979999999999997E-3</v>
    <v>USD</v>
    <v>Edison International is an electric utility holding company. The Company is focused on providing clean and reliable energy and energy services through its independent companies. It is the parent holding company of Southern California Edison Company (SCE) and Edison Energy, LLC, doing business as Trio. SCE is a public utility primarily engaged in the business of supplying and delivering electricity to an approximately 50,000 square mile area across Southern, Central and Coastal California. Edison Energy, LLC is a global energy advisory firm providing integrated sustainability and energy advisory services to large commercial, industrial and institutional organizations in North America and Europe. Energy, LLC provides integrated strategy and implementation solutions in sustainability, renewables, energy procurement, conventional supply, energy optimization and transportation electrification.</v>
    <v>13725</v>
    <v>New York Stock Exchange</v>
    <v>XNYS</v>
    <v>XNYS</v>
    <v>2244 Walnut Grove Ave, P O Box 800, ROSEMEAD, CA, 91770 US</v>
    <v>55.01</v>
    <v>Electrical Utilities &amp; IPPs</v>
    <v>Stock</v>
    <v>46288.994880485938</v>
    <v>30</v>
    <v>53.47</v>
    <v>20591397140</v>
    <v>EDISON INTERNATIONAL</v>
    <v>EDISON INTERNATIONAL</v>
    <v>54.78</v>
    <v>55.05</v>
    <v>53.51</v>
    <v>53.74</v>
    <v>384814000</v>
    <v>EIX</v>
    <v>EDISON INTERNATIONAL (XNYS:EIX)</v>
    <v>3714440</v>
    <v>6474527</v>
    <v>1987</v>
  </rv>
  <rv s="1">
    <v>31</v>
  </rv>
  <rv s="2">
    <v>https://www.bing.com/financeapi/forcetrigger?t=a1ry3m&amp;q=XNYS%3aEMR&amp;form=skydnc</v>
    <v>Learn more on Bing</v>
  </rv>
  <rv s="3">
    <v>5</v>
    <v>EMERSON ELECTRIC CO. (XNYS:EMR)</v>
    <v>6</v>
    <v>3</v>
    <v>Finance</v>
    <v>4</v>
    <v>en-US</v>
    <v>a1ry3m</v>
    <v>268435456</v>
    <v>1</v>
    <v>Powered by Refinitiv</v>
    <v>166.35</v>
    <v>122.63500000000001</v>
    <v>1.2107000000000001</v>
    <v>0.4</v>
    <v>2.5940000000000004E-3</v>
    <v>-1.59</v>
    <v>-1.0284999999999999E-2</v>
    <v>USD</v>
    <v>Emerson Electric Co. is a global technology and software company that provides solutions for customers in a wide range of end markets around the world. The Company operates through seven segments under two business groups, such as Intelligent Devices and Software and Control. Its Intelligent Devices business includes Final Control, Measurement &amp; Analytical, Discrete Automation, and Safety &amp; Productivity. Software and Control business includes Control Systems &amp; Software, Test &amp; Measurement, and AspenTech. Its Final Control segment is a global provider of control valves, isolation valves, shutoff valves, pressure relief valves, pressure safety valves, actuators, and regulators for process and hybrid industries. Its Measurement &amp; Analytical segment is a supplier of intelligent instrumentation measuring the physical properties of liquids or gases. AspenTech segment provides asset optimization software that enables industrial manufacturers to design, operate and maintain their operations.</v>
    <v>71000</v>
    <v>New York Stock Exchange</v>
    <v>XNYS</v>
    <v>XNYS</v>
    <v>8027 Forsyth Boulevard,, ST. LOUIS, MO, 63105 US</v>
    <v>156.0051</v>
    <v>Machinery, Equipment &amp; Components</v>
    <v>Stock</v>
    <v>46288.981777418747</v>
    <v>33</v>
    <v>152.99</v>
    <v>86230302000</v>
    <v>EMERSON ELECTRIC CO.</v>
    <v>EMERSON ELECTRIC CO.</v>
    <v>152.99</v>
    <v>33.732599999999998</v>
    <v>154.19</v>
    <v>154.59</v>
    <v>153</v>
    <v>557800000</v>
    <v>EMR</v>
    <v>EMERSON ELECTRIC CO. (XNYS:EMR)</v>
    <v>2722861</v>
    <v>2169533</v>
    <v>1890</v>
  </rv>
  <rv s="1">
    <v>34</v>
  </rv>
  <rv s="2">
    <v>https://www.bing.com/financeapi/forcetrigger?t=a25l52&amp;q=XNYS%3aVST&amp;form=skydnc</v>
    <v>Learn more on Bing</v>
  </rv>
  <rv s="3">
    <v>5</v>
    <v>VISTRA CORP. (XNYS:VST)</v>
    <v>6</v>
    <v>3</v>
    <v>Finance</v>
    <v>4</v>
    <v>en-US</v>
    <v>a25l52</v>
    <v>268435456</v>
    <v>1</v>
    <v>Powered by Refinitiv</v>
    <v>217.1</v>
    <v>132.66</v>
    <v>1.3828</v>
    <v>-2.44</v>
    <v>-1.7378000000000001E-2</v>
    <v>0.79</v>
    <v>5.7260000000000002E-3</v>
    <v>USD</v>
    <v>Vistra Corp. is an integrated retail electricity and power generation company that provides essential resources to customers, businesses, and communities from California to Maine. The Company operates a power generation fleet of natural gas, nuclear, coal, solar, and battery energy storage facilities. Its segments include Retail, Texas, East, West, and Asset Closure. The Retail segment is engaged in retail sales of electricity and natural gas to residential, commercial and industrial customers. The Texas and East segments are engaged in electricity generation, wholesale energy sales and purchases, commodity risk management activities, fuel procurement, and logistics management. The West segment represents results from the CAISO market, including its battery ESS projects at its Moss Landing power plant site. The Asset Closure segment is engaged in the decommissioning and reclamation of retired generation facilities, including mines, and battery removal and remediation activities.</v>
    <v>6390</v>
    <v>New York Stock Exchange</v>
    <v>XNYS</v>
    <v>XNYS</v>
    <v>6555 Sierra Drive, IRVING, TX, 75039 US</v>
    <v>140.5</v>
    <v>Electrical Utilities &amp; IPPs</v>
    <v>Stock</v>
    <v>46288.999700207809</v>
    <v>36</v>
    <v>137.62</v>
    <v>46307588544</v>
    <v>VISTRA CORP.</v>
    <v>VISTRA CORP.</v>
    <v>139.57</v>
    <v>23.308499999999999</v>
    <v>140.41</v>
    <v>137.97</v>
    <v>138.76</v>
    <v>335635200</v>
    <v>VST</v>
    <v>VISTRA CORP. (XNYS:VST)</v>
    <v>4412191</v>
    <v>4404357</v>
    <v>2016</v>
  </rv>
  <rv s="1">
    <v>37</v>
  </rv>
  <rv s="2">
    <v>https://www.bing.com/financeapi/forcetrigger?t=a1squ2&amp;q=XNYS%3aFE&amp;form=skydnc</v>
    <v>Learn more on Bing</v>
  </rv>
  <rv s="3">
    <v>5</v>
    <v>FIRSTENERGY CORP. (XNYS:FE)</v>
    <v>6</v>
    <v>3</v>
    <v>Finance</v>
    <v>4</v>
    <v>en-US</v>
    <v>a1squ2</v>
    <v>268435456</v>
    <v>1</v>
    <v>Powered by Refinitiv</v>
    <v>52.34</v>
    <v>43.185000000000002</v>
    <v>0.41139999999999999</v>
    <v>-1.08</v>
    <v>-2.4145E-2</v>
    <v>0.01</v>
    <v>2.2909999999999999E-4</v>
    <v>USD</v>
    <v>FirstEnergy Corp. and its subsidiaries are involved in the transmission, distribution, and generation of electricity through its segments: Distribution, Integrated and Stand-Alone Transmission. The Distribution Segment, which consists of the Ohio Companies and FirstEnergy Pennsylvania Electric Company (FE PA), distributes electricity in Ohio and Pennsylvania. The Integrated segment includes the distribution and transmission operations under Jersey Central Power &amp; Light Company (JCP&amp;L), Monongahela Power Company (MP) and The Potomac Edison Company (PE), as well as MP's regulated generation operations. The segment distributes electricity in New Jersey, West Virginia and Maryland, provides transmission infrastructure, and operates over 3,610 megawatts of regulated generation capacity. The Stand-Alone Transmission segment consists of its ownership in FET and KATCo, which includes transmission infrastructure owned and operated by the Transmission Companies and used to transmit electricity.</v>
    <v>11186</v>
    <v>New York Stock Exchange</v>
    <v>XNYS</v>
    <v>XNYS</v>
    <v>341 White Pond Drive, AKRON, OH, 44320 US</v>
    <v>44.575000000000003</v>
    <v>Electrical Utilities &amp; IPPs</v>
    <v>Stock</v>
    <v>46288.98995076328</v>
    <v>39</v>
    <v>43.63</v>
    <v>25257636000</v>
    <v>FIRSTENERGY CORP.</v>
    <v>FIRSTENERGY CORP.</v>
    <v>44.55</v>
    <v>23.294899999999998</v>
    <v>44.73</v>
    <v>43.65</v>
    <v>43.66</v>
    <v>578640000</v>
    <v>FE</v>
    <v>FIRSTENERGY CORP. (XNYS:FE)</v>
    <v>4230226</v>
    <v>4013364</v>
    <v>1996</v>
  </rv>
  <rv s="1">
    <v>40</v>
  </rv>
  <rv s="2">
    <v>https://www.bing.com/financeapi/forcetrigger?t=ay4lu2&amp;q=XNAS%3aXEL&amp;form=skydnc</v>
    <v>Learn more on Bing</v>
  </rv>
  <rv s="3">
    <v>5</v>
    <v>Xcel Energy Inc. (XNAS:XEL)</v>
    <v>6</v>
    <v>3</v>
    <v>Finance</v>
    <v>4</v>
    <v>en-US</v>
    <v>ay4lu2</v>
    <v>268435456</v>
    <v>1</v>
    <v>Powered by Refinitiv</v>
    <v>84.23</v>
    <v>70.56</v>
    <v>0.36549999999999999</v>
    <v>-1.4</v>
    <v>-1.9428000000000001E-2</v>
    <v>0</v>
    <v>0</v>
    <v>USD</v>
    <v>Xcel Energy Inc. is an electric and natural gas delivery company. The Company provides a comprehensive portfolio of energy-related products and services to approximately 3.9 million electric customers and 2.2 million natural gas customers through four utility subsidiaries, NSP-Minnesota, NSP-Wisconsin, PSCo and SPS. The Company operates through two segments. Its regulated electric utility segment generates, purchases, transmits, distributes and sells electricity in Colorado, Michigan, Minnesota, New Mexico, North Dakota, South Dakota, Texas and Wisconsin. In addition, this segment includes sales for resale and provides wholesale transmission service to various entities in the United States. The regulated electric utility segment also includes wholesale commodity and trading operations. Its regulated natural gas utility segment purchases, transports, stores, distributes and sells natural gas primarily in portions of Colorado, Michigan, Minnesota, North Dakota and Wisconsin.</v>
    <v>11534</v>
    <v>Nasdaq Stock Market</v>
    <v>XNAS</v>
    <v>XNAS</v>
    <v>414 Nicollet Mall, MINNEAPOLIS, MN, 55401 US</v>
    <v>71.745000000000005</v>
    <v>Electrical Utilities &amp; IPPs</v>
    <v>Stock</v>
    <v>46288.989952846874</v>
    <v>42</v>
    <v>70.56</v>
    <v>44136659638</v>
    <v>Xcel Energy Inc.</v>
    <v>Xcel Energy Inc.</v>
    <v>71.745000000000005</v>
    <v>19.7165</v>
    <v>72.06</v>
    <v>70.66</v>
    <v>70.66</v>
    <v>624634300</v>
    <v>XEL</v>
    <v>Xcel Energy Inc. (XNAS:XEL)</v>
    <v>4409410</v>
    <v>5747974</v>
    <v>1909</v>
  </rv>
  <rv s="1">
    <v>43</v>
  </rv>
  <rv s="2">
    <v>https://www.bing.com/financeapi/forcetrigger?t=a1s6ww&amp;q=XNYS%3aES&amp;form=skydnc</v>
    <v>Learn more on Bing</v>
  </rv>
  <rv s="3">
    <v>5</v>
    <v>Eversource Energy (XNYS:ES)</v>
    <v>6</v>
    <v>3</v>
    <v>Finance</v>
    <v>4</v>
    <v>en-US</v>
    <v>a1s6ww</v>
    <v>268435456</v>
    <v>1</v>
    <v>Powered by Refinitiv</v>
    <v>76.569999999999993</v>
    <v>63.445</v>
    <v>0.67030000000000001</v>
    <v>-1.47</v>
    <v>-2.2145000000000001E-2</v>
    <v>0.51</v>
    <v>7.8569999999999994E-3</v>
    <v>USD</v>
    <v>Eversource Energy is a utility holding company, which is engaged in the energy delivery business through its utility subsidiaries. The Company's segments include Electric Distribution, Electric Transmission, and Natural Gas Distribution. The Electric Distribution segment is engaged in the distribution of electricity to retail customers in Connecticut, Massachusetts and New Hampshire, respectively, and the solar power facilities of NSTAR Electric Company. The NSTAR Electric Company's distribution business consists primarily of the purchase, delivery and sale of electricity to its residential, commercial and industrial customers. The Electric Transmission segment owns and maintains transmission facilities that are part of an interstate power transmission grid over which electricity is transmitted throughout New England. The Natural Gas Distribution segment is engaged in the distribution and sale of natural gas to customers.</v>
    <v>10731</v>
    <v>New York Stock Exchange</v>
    <v>XNYS</v>
    <v>XNYS</v>
    <v>300 Cadwell Dr, SPRINGFIELD, MA, 01104-1742 US</v>
    <v>66.099999999999994</v>
    <v>Electrical Utilities &amp; IPPs</v>
    <v>Stock</v>
    <v>46288.99541553203</v>
    <v>45</v>
    <v>64.72</v>
    <v>24449954777</v>
    <v>Eversource Energy</v>
    <v>Eversource Energy</v>
    <v>66.03</v>
    <v>16.8065</v>
    <v>66.38</v>
    <v>64.91</v>
    <v>65.42</v>
    <v>376674700</v>
    <v>ES</v>
    <v>Eversource Energy (XNYS:ES)</v>
    <v>2890786</v>
    <v>2126637</v>
    <v>1927</v>
  </rv>
  <rv s="1">
    <v>46</v>
  </rv>
  <rv s="2">
    <v>https://www.bing.com/financeapi/forcetrigger?t=a1saoc&amp;q=XNYS%3aETR&amp;form=skydnc</v>
    <v>Learn more on Bing</v>
  </rv>
  <rv s="3">
    <v>5</v>
    <v>ENTERGY CORPORATION (XNYS:ETR)</v>
    <v>6</v>
    <v>3</v>
    <v>Finance</v>
    <v>4</v>
    <v>en-US</v>
    <v>a1saoc</v>
    <v>268435456</v>
    <v>1</v>
    <v>Powered by Refinitiv</v>
    <v>118.44499999999999</v>
    <v>88.9</v>
    <v>0.4395</v>
    <v>-1.93</v>
    <v>-1.9078999999999999E-2</v>
    <v>-0.38</v>
    <v>-3.8290000000000004E-3</v>
    <v>USD</v>
    <v>Entergy Corporation is an integrated energy company engaged primarily in electric power production and retail distribution operations. The Company operates primarily through a single segment, Utility. The Utility segment includes the generation, transmission, distribution, and sale of electric power in portions of Arkansas, Mississippi, Texas, and Louisiana, including the City of New Orleans. The Utility segment includes five retail electric utility subsidiaries: Entergy Arkansas, LLC, Entergy Louisiana, LLC, Entergy Mississippi, LLC, Entergy New Orleans, LLC, and Entergy Texas, Inc. These companies generate, transmit, distribute, and sell electric power to retail and wholesale customers in Arkansas, Louisiana, Mississippi, and Texas. The Company owns and operates power plants with approximately 25,000 MW of electric generating capacity. It delivers electricity to approximately three million utility customers in Arkansas, Louisiana, Mississippi, and Texas.</v>
    <v>12000</v>
    <v>New York Stock Exchange</v>
    <v>XNYS</v>
    <v>XNYS</v>
    <v>639 Loyola Ave, NEW ORLEANS, LA, 70113 US</v>
    <v>100.795</v>
    <v>Electrical Utilities &amp; IPPs</v>
    <v>Stock</v>
    <v>46288.991548830469</v>
    <v>48</v>
    <v>98.84</v>
    <v>47409861325</v>
    <v>ENTERGY CORPORATION</v>
    <v>ENTERGY CORPORATION</v>
    <v>100.63</v>
    <v>25.388300000000001</v>
    <v>101.16</v>
    <v>99.23</v>
    <v>98.85</v>
    <v>477777500</v>
    <v>ETR</v>
    <v>ENTERGY CORPORATION (XNYS:ETR)</v>
    <v>2778514</v>
    <v>2618630</v>
    <v>1992</v>
  </rv>
  <rv s="1">
    <v>49</v>
  </rv>
  <rv s="2">
    <v>https://www.bing.com/financeapi/forcetrigger?t=a1myk2&amp;q=XNYS%3aAES&amp;form=skydnc</v>
    <v>Learn more on Bing</v>
  </rv>
  <rv s="3">
    <v>5</v>
    <v>THE AES CORPORATION (XNYS:AES)</v>
    <v>6</v>
    <v>3</v>
    <v>Finance</v>
    <v>4</v>
    <v>en-US</v>
    <v>a1myk2</v>
    <v>268435456</v>
    <v>1</v>
    <v>Powered by Refinitiv</v>
    <v>17.649999999999999</v>
    <v>12.965</v>
    <v>0.95669999999999999</v>
    <v>-0.01</v>
    <v>-6.7480000000000003E-4</v>
    <v>-6.4999999999999997E-3</v>
    <v>-4.3889999999999999E-4</v>
    <v>USD</v>
    <v>The AES Corporation is an energy company. The Company operates in four segments: Renewables, Utilities, Energy Infrastructure, and New Energy Technologies. The Renewables segment include solar, wind, energy storage, and hydro generation facilities. The Utilities segment includes AES Indiana, AES Ohio, and AES El Salvador regulated utilities and their generation facilities. The Energy Infrastructure segment includes natural gas, liquefied natural gas (LNG), coal, pet coke, diesel, and oil generation facilities, and its businesses in Chile, which have a mix of generation sources, including renewables. The New Energy Technologies segment includes investments in Fluence, Uplight, Maximo and other initiatives. It has two lines of business: Generation, which owns and/or operates power plants to generate and sell power to customers and Utilities that own and/or operate utilities to generate or purchase, distribute, transmit and sell electricity to end-user customers.</v>
    <v>8336</v>
    <v>New York Stock Exchange</v>
    <v>XNYS</v>
    <v>XNYS</v>
    <v>4300 Wilson Blvd, ARLINGTON, VA, 22203 US</v>
    <v>14.835000000000001</v>
    <v>Electrical Utilities &amp; IPPs</v>
    <v>Stock</v>
    <v>46288.979244976559</v>
    <v>51</v>
    <v>14.8</v>
    <v>10566027147</v>
    <v>THE AES CORPORATION</v>
    <v>THE AES CORPORATION</v>
    <v>14.82</v>
    <v>5.5263</v>
    <v>14.82</v>
    <v>14.81</v>
    <v>14.8035</v>
    <v>713438700</v>
    <v>AES</v>
    <v>THE AES CORPORATION (XNYS:AES)</v>
    <v>10759049</v>
    <v>7889723</v>
    <v>1981</v>
  </rv>
  <rv s="1">
    <v>52</v>
  </rv>
  <rv s="2">
    <v>https://www.bing.com/financeapi/forcetrigger?t=b19hc7&amp;q=XNYS%3aVRT&amp;form=skydnc</v>
    <v>Learn more on Bing</v>
  </rv>
  <rv s="3">
    <v>5</v>
    <v>VERTIV HOLDINGS CO (XNYS:VRT)</v>
    <v>6</v>
    <v>3</v>
    <v>Finance</v>
    <v>4</v>
    <v>en-US</v>
    <v>b19hc7</v>
    <v>268435456</v>
    <v>1</v>
    <v>Powered by Refinitiv</v>
    <v>379.935</v>
    <v>133.85</v>
    <v>2.0365000000000002</v>
    <v>-4.68</v>
    <v>-1.8464000000000001E-2</v>
    <v>0.48</v>
    <v>1.9289999999999999E-3</v>
    <v>USD</v>
    <v>Vertiv Holdings Co. provides mission-critical digital infrastructure technologies and lifecycle services primarily for data centers, communication networks, and commercial and industrial environments. The Company operates in three business segments: the Americas; Asia Pacific, and Europe, Middle East &amp; Africa. The Company's offerings include alternate current (AC) and direct current (DC) power management, thermal management, low/medium voltage switchgear, busbar, air cooled and liquid cooled thermal management products, integrated modular solutions, racks, single phase UPS, rack power distribution, rack thermal systems, configurable integrated solutions, energy storage solutions, hardware, software for managing IT equipment, management systems for monitoring and controlling digital infrastructure, and services. It also provides preventative maintenance, acceptance testing, engineering and consulting, remote monitoring, training, spare parts, specialized fluid management, and others.</v>
    <v>34000</v>
    <v>New York Stock Exchange</v>
    <v>XNYS</v>
    <v>XNYS</v>
    <v>505 N. Cleveland Ave., WESTERVILLE, OH, 43082 US</v>
    <v>255.02</v>
    <v>Machinery, Equipment &amp; Components</v>
    <v>Stock</v>
    <v>46288.999948981247</v>
    <v>54</v>
    <v>248.505</v>
    <v>95777364396</v>
    <v>VERTIV HOLDINGS CO</v>
    <v>VERTIV HOLDINGS CO</v>
    <v>253.67500000000001</v>
    <v>56.299100000000003</v>
    <v>253.46</v>
    <v>248.78</v>
    <v>249.26</v>
    <v>384988200</v>
    <v>VRT</v>
    <v>VERTIV HOLDINGS CO (XNYS:VRT)</v>
    <v>3556464</v>
    <v>5288568</v>
    <v>2016</v>
  </rv>
  <rv s="1">
    <v>55</v>
  </rv>
  <rv s="2">
    <v>https://www.bing.com/financeapi/forcetrigger?t=a214vh&amp;q=XNYS%3aPPL&amp;form=skydnc</v>
    <v>Learn more on Bing</v>
  </rv>
  <rv s="3">
    <v>5</v>
    <v>PPL CORPORATION (XNYS:PPL)</v>
    <v>6</v>
    <v>3</v>
    <v>Finance</v>
    <v>4</v>
    <v>en-US</v>
    <v>a214vh</v>
    <v>268435456</v>
    <v>1</v>
    <v>Powered by Refinitiv</v>
    <v>40.104999999999997</v>
    <v>32.200000000000003</v>
    <v>0.57340000000000002</v>
    <v>-0.63</v>
    <v>-1.9160999999999997E-2</v>
    <v>-0.05</v>
    <v>-1.5499999999999999E-3</v>
    <v>USD</v>
    <v>PPL Corporation is an energy company. The Company is focused on providing electricity and natural gas in the United States. The Company operates through three segments: Kentucky Regulated, Pennsylvania Regulated, and Rhode Island Regulated. The Kentucky Regulated segment consists primarily of the regulated electricity generation, transmission and distribution operations conducted by Louisville Gas &amp; Electric Company (LG&amp;E) and Kentucky Utilities Company (KU), as well as LG&amp;E's regulated distribution and sale of natural gas. LG&amp;E and KU are engaged in the regulated generation, transmission, distribution and sale of electricity in Kentucky and, in KU's case, also Virginia. The Pennsylvania Regulated segment includes the regulated electricity transmission and distribution operations of PPL Electric. The Rhode Island Regulated segment includes the regulated electricity transmission and distribution operations and regulated distribution and sale of natural gas conducted by RIE.</v>
    <v>6546</v>
    <v>New York Stock Exchange</v>
    <v>XNYS</v>
    <v>XNYS</v>
    <v>645 Hamilton Street, ALLENTOWN, PA, 18101-1179 US</v>
    <v>32.765000000000001</v>
    <v>Multiline Utilities</v>
    <v>Stock</v>
    <v>46288.989943310153</v>
    <v>57</v>
    <v>32.200000000000003</v>
    <v>24269573025</v>
    <v>PPL CORPORATION</v>
    <v>PPL CORPORATION</v>
    <v>32.700000000000003</v>
    <v>19.1554</v>
    <v>32.880000000000003</v>
    <v>32.25</v>
    <v>32.200000000000003</v>
    <v>752544900</v>
    <v>PPL</v>
    <v>PPL CORPORATION (XNYS:PPL)</v>
    <v>5240695</v>
    <v>7259460</v>
    <v>1994</v>
  </rv>
  <rv s="1">
    <v>58</v>
  </rv>
  <rv s="2">
    <v>https://www.bing.com/financeapi/forcetrigger?t=aaybr7&amp;q=XTSE%3aFTS&amp;form=skydnc</v>
    <v>Learn more on Bing</v>
  </rv>
  <rv s="3">
    <v>5</v>
    <v>Fortis Inc. (XTSE:FTS)</v>
    <v>6</v>
    <v>14</v>
    <v>Finance</v>
    <v>15</v>
    <v>en-US</v>
    <v>aaybr7</v>
    <v>268435456</v>
    <v>1</v>
    <v>Powered by Refinitiv</v>
    <v>83.75</v>
    <v>67.62</v>
    <v>0.40720000000000001</v>
    <v>-0.61</v>
    <v>-8.0470000000000003E-3</v>
    <v>0</v>
    <v>0</v>
    <v>CAD</v>
    <v>Fortis Inc. is a Canada-based diversified regulated electric and gas utility holding company. Its regulated utilities include ITC, UNS Energy, Central Hudson, FortisBC Energy Inc., FortisAlberta Inc., FortisBC Inc. and Other electric. The ITC includes Investment Holdings Inc., ITC Holdings Corp. and the electric transmission operations of its regulated operating subsidiaries, which include International Transmission Company, Michigan Electric Transmission Company, LLC, ITC Midwest LLC and ITC Great Plains, LLC. UNS Energy includes UNS Energy Corporation, which primarily includes Tucson Electric Power Company, UNS Electric, Inc. and UNS Gas, Inc. The Central Hudson includes CH Energy Group, Inc., which primarily includes Central Hudson Gas &amp; Electric Corporation. Other Electric include Eastern Canadian and Caribbean utilities, as follows: Newfoundland Power Inc., Maritime Electric Company, Limited, FortisOntario Inc., and others.</v>
    <v>9900</v>
    <v>Toronto Stock Exchange</v>
    <v>XTSE</v>
    <v>XTSE</v>
    <v>5 Springdale Street, Fortis Place, Suite 1100, ST. JOHNS, NL, A1B 3T2 CA</v>
    <v>75.569999999999993</v>
    <v>Electrical Utilities &amp; IPPs</v>
    <v>Stock</v>
    <v>46288.850208333337</v>
    <v>60</v>
    <v>74.88</v>
    <v>38621764564</v>
    <v>Fortis Inc.</v>
    <v>Fortis Inc.</v>
    <v>75.569999999999993</v>
    <v>22.029399999999999</v>
    <v>75.8</v>
    <v>75.19</v>
    <v>75.19</v>
    <v>513655600</v>
    <v>FTS</v>
    <v>Fortis Inc. (XTSE:FTS)</v>
    <v>1102338</v>
    <v>1243470</v>
    <v>1987</v>
  </rv>
  <rv s="1">
    <v>61</v>
  </rv>
  <rv s="2">
    <v>https://www.bing.com/financeapi/forcetrigger?t=a226jc&amp;q=XNYS%3aROK&amp;form=skydnc</v>
    <v>Learn more on Bing</v>
  </rv>
  <rv s="3">
    <v>5</v>
    <v>ROCKWELL AUTOMATION, INC. (XNYS:ROK)</v>
    <v>6</v>
    <v>3</v>
    <v>Finance</v>
    <v>4</v>
    <v>en-US</v>
    <v>a226jc</v>
    <v>268435456</v>
    <v>1</v>
    <v>Powered by Refinitiv</v>
    <v>497.36</v>
    <v>332.71</v>
    <v>1.5062</v>
    <v>5.7</v>
    <v>1.3343000000000001E-2</v>
    <v>0</v>
    <v>0</v>
    <v>USD</v>
    <v>Rockwell Automation, Inc. is engaged in industrial automation and digital transformation. The Company operates in three segments: Intelligent Devices, Software &amp; Control, and Lifecycle Services. The Intelligent Devices segment portfolio includes power control, motion control, safety, sensing, and industrial components, and micro control and distributed input/output. The Software &amp; Control operating segment contains a comprehensive portfolio of production automation and production operations platforms, including hardware and software. This integrated portfolio is merging information technology (IT) and operational technology (OT), bringing the benefits of the Connected Enterprise to the production system. The Lifecycle Services segment includes consulting services, including cybersecurity and digital transformation strategy and design and professional services, including global automation and information program and project management and delivery capabilities, and connected services.</v>
    <v>26000</v>
    <v>New York Stock Exchange</v>
    <v>XNYS</v>
    <v>XNYS</v>
    <v>1201 South 2Nd Street, MILWAUKEE, WI, 53204 US</v>
    <v>435.69</v>
    <v>Machinery, Equipment &amp; Components</v>
    <v>Stock</v>
    <v>46288.979239560154</v>
    <v>63</v>
    <v>423.6601</v>
    <v>48071871743</v>
    <v>ROCKWELL AUTOMATION, INC.</v>
    <v>ROCKWELL AUTOMATION, INC.</v>
    <v>424.59</v>
    <v>40.531599999999997</v>
    <v>427.19</v>
    <v>432.89</v>
    <v>432.89</v>
    <v>111048700</v>
    <v>ROK</v>
    <v>ROCKWELL AUTOMATION, INC. (XNYS:ROK)</v>
    <v>603046</v>
    <v>714658</v>
    <v>1996</v>
  </rv>
  <rv s="1">
    <v>64</v>
  </rv>
  <rv s="2">
    <v>https://www.bing.com/financeapi/forcetrigger?t=a1ne3m&amp;q=XNYS%3aAME&amp;form=skydnc</v>
    <v>Learn more on Bing</v>
  </rv>
  <rv s="3">
    <v>5</v>
    <v>AMETEK, INC. (XNYS:AME)</v>
    <v>6</v>
    <v>3</v>
    <v>Finance</v>
    <v>4</v>
    <v>en-US</v>
    <v>a1ne3m</v>
    <v>268435456</v>
    <v>1</v>
    <v>Powered by Refinitiv</v>
    <v>261.16000000000003</v>
    <v>179.23500000000001</v>
    <v>0.96870000000000001</v>
    <v>1.04</v>
    <v>4.2380000000000004E-3</v>
    <v>-0.04</v>
    <v>-1.6230000000000001E-4</v>
    <v>USD</v>
    <v>AMETEK, Inc. is a global provider of industrial technology solutions serving a diverse set of niche markets. Its segments include Electronic Instruments Group (EIG) and Electromechanical Group (EMG). The EIG segment designs and manufactures advanced instruments for the process, power and industrial, and aerospace markets. It provides a range of instruments for research and laboratory equipment, ultra-precision manufacturing and metrology, optics, medical, and test and measurement markets. EMG designs and manufactures engineered medical components and devices, automation solutions, thermal management systems, specialty metals and electrical interconnects. It also provides three-dimensional measurement and imaging solutions, including portable measurement arms, laser scanners and trackers, software solutions, and comprehensive service offerings. It is also engaged in instrumentation businesses that design and manufacture solutions for demanding industrial and scientific applications.</v>
    <v>22500</v>
    <v>New York Stock Exchange</v>
    <v>XNYS</v>
    <v>XNYS</v>
    <v>1100 Cassatt Road, BERWYN, PA, 19312 US</v>
    <v>248.57499999999999</v>
    <v>Machinery, Equipment &amp; Components</v>
    <v>Stock</v>
    <v>46288.993824571095</v>
    <v>66</v>
    <v>243.73</v>
    <v>56501422740</v>
    <v>AMETEK, INC.</v>
    <v>AMETEK, INC.</v>
    <v>243.73</v>
    <v>36.023299999999999</v>
    <v>245.41</v>
    <v>246.45</v>
    <v>246.41</v>
    <v>229261200</v>
    <v>AME</v>
    <v>AMETEK, INC. (XNYS:AME)</v>
    <v>1466646</v>
    <v>1415929</v>
    <v>1986</v>
  </rv>
  <rv s="1">
    <v>67</v>
  </rv>
  <rv s="2">
    <v>https://www.bing.com/financeapi/forcetrigger?t=aayim7&amp;q=XTSE%3aH&amp;form=skydnc</v>
    <v>Learn more on Bing</v>
  </rv>
  <rv s="3">
    <v>5</v>
    <v>HYDRO ONE LIMITED (XTSE:H)</v>
    <v>6</v>
    <v>14</v>
    <v>Finance</v>
    <v>15</v>
    <v>en-US</v>
    <v>aayim7</v>
    <v>268435456</v>
    <v>1</v>
    <v>Powered by Refinitiv</v>
    <v>60.57</v>
    <v>48.62</v>
    <v>0.36449999999999999</v>
    <v>-0.47</v>
    <v>-9.1069999999999988E-3</v>
    <v>0</v>
    <v>0</v>
    <v>CAD</v>
    <v>Hydro One Limited, through its wholly owned subsidiaries, is an electricity transmission and distribution provider in Ontario. The Company’s segments include Transmission, Distribution and Other segment. The Transmission Segment comprises the transmission system which transmits high voltage electricity across Ontario, interconnecting local distribution companies and certain large directly connected industrial customers throughout the Ontario electricity grid. The Distribution Segment comprises the delivery of electricity to end customers and certain other municipal electricity distributors. Other Segment includes the telecommunications business, which provides telecommunications support for the Company’s transmission and distribution businesses, as well as certain corporate activities. It also includes energy solutions for commercial and industrial clients. Its subsidiary owns and operates electric vehicle fast charging stations across Ontario under the Ivy Charging Network brand.</v>
    <v>7200</v>
    <v>Toronto Stock Exchange</v>
    <v>XTSE</v>
    <v>XTSE</v>
    <v>483 Bay Street, 8th Floor, South Tower, TORONTO, ON, M5G 2P5 CA</v>
    <v>51.6</v>
    <v>Electrical Utilities &amp; IPPs</v>
    <v>Stock</v>
    <v>46288.833333333336</v>
    <v>69</v>
    <v>50.66</v>
    <v>30688914554</v>
    <v>HYDRO ONE LIMITED</v>
    <v>HYDRO ONE LIMITED</v>
    <v>51.33</v>
    <v>21.8186</v>
    <v>51.61</v>
    <v>51.14</v>
    <v>51.14</v>
    <v>600096100</v>
    <v>H</v>
    <v>HYDRO ONE LIMITED (XTSE:H)</v>
    <v>959373</v>
    <v>2211120</v>
    <v>2015</v>
  </rv>
  <rv s="1">
    <v>70</v>
  </rv>
  <rv s="8">
    <v>16</v>
    <v>BROKFLD RWBL PRT NON VTG UNT (NEOE:BEP.UN)</v>
    <v>17</v>
    <v>18</v>
    <v>Finance</v>
    <v>19</v>
    <v>en-US</v>
    <v>cdws1h</v>
    <v>268435456</v>
    <v>1</v>
    <v>Powered by Refinitiv</v>
    <v>52.86</v>
    <v>35.14</v>
    <v>-0.92</v>
    <v>-2.1951999999999999E-2</v>
    <v>CAD</v>
    <v>NEO Exchange</v>
    <v>NEOE</v>
    <v>41.85</v>
    <v>ETF</v>
    <v>46288.833233402343</v>
    <v>40.99</v>
    <v>BROKFLD RWBL PRT NON VTG UNT</v>
    <v>41.85</v>
    <v>41.91</v>
    <v>40.99</v>
    <v>BEP.UN</v>
    <v>BROKFLD RWBL PRT NON VTG UNT (NEOE:BEP.UN)</v>
    <v>7200</v>
  </rv>
  <rv s="1">
    <v>72</v>
  </rv>
  <rv s="2">
    <v>https://www.bing.com/financeapi/forcetrigger?t=aaxyr7&amp;q=XTSE%3aEMA&amp;form=skydnc</v>
    <v>Learn more on Bing</v>
  </rv>
  <rv s="3">
    <v>5</v>
    <v>EMERA INCORPORATED (XTSE:EMA)</v>
    <v>6</v>
    <v>14</v>
    <v>Finance</v>
    <v>15</v>
    <v>en-US</v>
    <v>aaxyr7</v>
    <v>268435456</v>
    <v>1</v>
    <v>Powered by Refinitiv</v>
    <v>77.989999999999995</v>
    <v>63.93</v>
    <v>0.42159999999999997</v>
    <v>-0.52</v>
    <v>-7.587E-3</v>
    <v>0</v>
    <v>0</v>
    <v>CAD</v>
    <v>Emera Incorporated is a Canada-based geographically diverse energy and services company. It invests in regulated electricity generation and electricity and gas transmission and distribution, with a strategic focus on transformation from high carbon to low carbon energy sources. Its segments include Florida Electric Utility, Canadian Electric Utilities, Gas Utilities and Infrastructure, Other Electric Utilities, and Other. Florida Electric Utility consists of Tampa Electric, a vertically integrated regulated electric utility in West Central Florida. Canadian Electric Utilities includes Nova Scotia Power Inc., a vertically integrated regulated electric utility engaged in the generation, transmission and distribution of electricity and the primary electricity supplier to customers in Nova Scotia. Gas Utilities and Infrastructure include Peoples Gas System, Inc., Emera Brunswick Pipeline Company Limited, SeaCoast Gas Transmission, LLC and Maritimes &amp; Northeast Pipeline, LLC.</v>
    <v>7812</v>
    <v>Toronto Stock Exchange</v>
    <v>XTSE</v>
    <v>XTSE</v>
    <v>5151 Terminal Road, HALIFAX, NS, B3J 1A1 CA</v>
    <v>68.510000000000005</v>
    <v>Electrical Utilities &amp; IPPs</v>
    <v>Stock</v>
    <v>46288.833333333336</v>
    <v>74</v>
    <v>67.47</v>
    <v>20966314750</v>
    <v>EMERA INCORPORATED</v>
    <v>EMERA INCORPORATED</v>
    <v>68.44</v>
    <v>21.427499999999998</v>
    <v>68.540000000000006</v>
    <v>68.02</v>
    <v>68.02</v>
    <v>308237500</v>
    <v>EMA</v>
    <v>EMERA INCORPORATED (XTSE:EMA)</v>
    <v>1057762</v>
    <v>840800</v>
    <v>1998</v>
  </rv>
  <rv s="1">
    <v>75</v>
  </rv>
  <rv s="2">
    <v>https://www.bing.com/financeapi/forcetrigger?t=b17tur&amp;q=XNYS%3aEVRG&amp;form=skydnc</v>
    <v>Learn more on Bing</v>
  </rv>
  <rv s="3">
    <v>5</v>
    <v>Evergy, Inc. (XNAS:EVRG)</v>
    <v>6</v>
    <v>3</v>
    <v>Finance</v>
    <v>4</v>
    <v>en-US</v>
    <v>b17tur</v>
    <v>268435456</v>
    <v>1</v>
    <v>Powered by Refinitiv</v>
    <v>88.62</v>
    <v>71.405000000000001</v>
    <v>0.47820000000000001</v>
    <v>-0.85</v>
    <v>-1.0723E-2</v>
    <v>-0.44</v>
    <v>-5.6110000000000005E-3</v>
    <v>USD</v>
    <v>Evergy, Inc. is a utility holding company. The Company operates primarily through its wholly owned subsidiaries, Evergy Kansas Central, Inc. (Evergy Kansas Central); Evergy Metro, Inc. (Evergy Metro); Evergy Missouri West, Inc. (Evergy Missouri West), and Evergy Transmission Company, LLC (Evergy Transmission Company). Evergy Kansas Central is an integrated, regulated electric utility that provides electricity to customers in the state of Kansas. Evergy Metro is an integrated, regulated electric utility that provides electricity to customers in the states of Missouri and Kansas. Evergy Missouri West is an integrated, regulated electric utility that provides electricity to customers in the state of Missouri. Evergy Transmission Company owns 13.5% of Transource Energy, LLC (Transource) with the remaining 86.5% owned by AEP Transmission Holding Company, LLC. Transource is focused on the development of competitive electric transmission projects.</v>
    <v>4691</v>
    <v>Nasdaq Stock Market</v>
    <v>XNAS</v>
    <v>XNAS</v>
    <v>1200 Main St, KANSAS CITY, MO, 64105-2122 US</v>
    <v>79.2</v>
    <v>Electrical Utilities &amp; IPPs</v>
    <v>Stock</v>
    <v>46288.98994806641</v>
    <v>77</v>
    <v>78.364999999999995</v>
    <v>18081079824</v>
    <v>Evergy, Inc.</v>
    <v>Evergy, Inc.</v>
    <v>78.959999999999994</v>
    <v>19.9071</v>
    <v>79.27</v>
    <v>78.42</v>
    <v>77.98</v>
    <v>230567200</v>
    <v>EVRG</v>
    <v>Evergy, Inc. (XNAS:EVRG)</v>
    <v>2381186</v>
    <v>2139685</v>
    <v>2017</v>
  </rv>
  <rv s="1">
    <v>78</v>
  </rv>
  <rv s="2">
    <v>https://www.bing.com/financeapi/forcetrigger?t=a21qu2&amp;q=XNYS%3aRRX&amp;form=skydnc</v>
    <v>Learn more on Bing</v>
  </rv>
  <rv s="3">
    <v>5</v>
    <v>Regal Rexnord Corporation (XNYS:RRX)</v>
    <v>6</v>
    <v>3</v>
    <v>Finance</v>
    <v>4</v>
    <v>en-US</v>
    <v>a21qu2</v>
    <v>268435456</v>
    <v>1</v>
    <v>Powered by Refinitiv</v>
    <v>247.8</v>
    <v>127.96</v>
    <v>1.0914999999999999</v>
    <v>-0.23</v>
    <v>-1.5070000000000001E-3</v>
    <v>3.04</v>
    <v>1.9945000000000001E-2</v>
    <v>USD</v>
    <v>Regal Rexnord Corporation provides sustainable solutions that power, transmit and control motion. Its electric motors and air moving subsystems provide the power to create motion. Its segments include Automation &amp; Motion Control (AMC), Industrial Powertrain Solutions (IPS), and Power Efficiency Solutions (PES). The AMC segment designs, produces and services conveyor products, conveying automation subsystems, aerospace components, precision motion control solutions, among others. The IPS segment designs, produces, and services a portfolio of engineered transmission products, including mounted and unmounted bearings, couplings, mechanical power transmission drives and components, gearboxes and gear motors, clutches, brakes, and industrial powertrain components and solutions. The PES segment designs and produces fractional to approximately five horsepower AC and DC motors, electronic variable speed controls, electronic drives, fans and blowers, among others.</v>
    <v>29200</v>
    <v>New York Stock Exchange</v>
    <v>XNYS</v>
    <v>XNYS</v>
    <v>111 West Michigan Street, MILWAUKEE, WI, 53203 US</v>
    <v>153.61000000000001</v>
    <v>Machinery, Equipment &amp; Components</v>
    <v>Stock</v>
    <v>46288.985467753904</v>
    <v>80</v>
    <v>149.62</v>
    <v>10149932825</v>
    <v>Regal Rexnord Corporation</v>
    <v>Regal Rexnord Corporation</v>
    <v>150.87</v>
    <v>31.418399999999998</v>
    <v>152.65</v>
    <v>152.41999999999999</v>
    <v>155.46</v>
    <v>66591870</v>
    <v>RRX</v>
    <v>Regal Rexnord Corporation (XNYS:RRX)</v>
    <v>1075284</v>
    <v>1261841</v>
    <v>1994</v>
  </rv>
  <rv s="1">
    <v>81</v>
  </rv>
  <rv s="2">
    <v>https://www.bing.com/financeapi/forcetrigger?t=a1uyk2&amp;q=XNYS%3aHUBB&amp;form=skydnc</v>
    <v>Learn more on Bing</v>
  </rv>
  <rv s="3">
    <v>5</v>
    <v>HUBBELL INCORPORATED (XNYS:HUBB)</v>
    <v>6</v>
    <v>3</v>
    <v>Finance</v>
    <v>4</v>
    <v>en-US</v>
    <v>a1uyk2</v>
    <v>268435456</v>
    <v>1</v>
    <v>Powered by Refinitiv</v>
    <v>565.49990000000003</v>
    <v>403.82</v>
    <v>0.84589999999999999</v>
    <v>4.87</v>
    <v>1.0613999999999998E-2</v>
    <v>1.3</v>
    <v>2.8039999999999996E-3</v>
    <v>USD</v>
    <v>Hubbell Incorporated is a global manufacturer of electrical products and utility solutions for a range of customer and end market applications. It operates in two segments: Utility Solutions and Electrical Solutions. The Utility Solutions segment consists of businesses that enable the grid to conduct, communicate and control energy across utility applications. It offers solutions that serve The Edge of the utility infrastructure, including smart meters, communications systems, and protection and control devices. The Electrical Solutions segment comprises businesses that sell stock and custom products including standard and special application wiring device products, rough-in electrical products, connector and grounding products, as well as other electrical equipment. The Company also offers a variety of wiring devices and electrical products that have residential and utility applications. Its products are either sourced completely, manufactured or assembled by its subsidiaries.</v>
    <v>18000</v>
    <v>New York Stock Exchange</v>
    <v>XNYS</v>
    <v>XNYS</v>
    <v>40 Waterview Drive, SHELTON, CT, 06484 US</v>
    <v>470.36</v>
    <v>Machinery, Equipment &amp; Components</v>
    <v>Stock</v>
    <v>46288.97924547422</v>
    <v>83</v>
    <v>452.63</v>
    <v>24498462709</v>
    <v>HUBBELL INCORPORATED</v>
    <v>HUBBELL INCORPORATED</v>
    <v>454.84</v>
    <v>27.417300000000001</v>
    <v>458.83</v>
    <v>463.7</v>
    <v>465</v>
    <v>52832570</v>
    <v>HUBB</v>
    <v>HUBBELL INCORPORATED (XNYS:HUBB)</v>
    <v>604414</v>
    <v>484774</v>
    <v>1905</v>
  </rv>
  <rv s="1">
    <v>84</v>
  </rv>
  <rv s="2">
    <v>https://www.bing.com/financeapi/forcetrigger?t=a2139c&amp;q=XNYS%3aPNW&amp;form=skydnc</v>
    <v>Learn more on Bing</v>
  </rv>
  <rv s="3">
    <v>5</v>
    <v>PINNACLE WEST CAPITAL CORPORATION (XNYS:PNW)</v>
    <v>6</v>
    <v>3</v>
    <v>Finance</v>
    <v>4</v>
    <v>en-US</v>
    <v>a2139c</v>
    <v>268435456</v>
    <v>1</v>
    <v>Powered by Refinitiv</v>
    <v>111.16</v>
    <v>85.91</v>
    <v>0.41849999999999998</v>
    <v>-1.1100000000000001</v>
    <v>-1.1915E-2</v>
    <v>0</v>
    <v>0</v>
    <v>USD</v>
    <v>Pinnacle West Capital Corporation is an electric utility holding company. The Company operates through its subsidiary, Arizona Public Service Company (APS). It is engaged in regulated retail and wholesale electricity businesses and related activities, and includes electricity generation, transmission, and distribution. It owns or leases approximately 6,257 megawatts (MW) of regulated generation capacity and holds a mix of both long-term and short-term power purchase agreements (PPAs) for additional capacity. Its portfolio includes biomass, biogas, coal, energy storage, geothermal, natural gas, solar, and wind. It includes natural gas power plants located throughout Arizona, consisting of Redhawk, located near Palo Verde; Ocotillo, located in Tempe; Sundance, located in Coolidge; West Phoenix, located in southwest Phoenix; Saguaro, located north of Tucson; and Yucca, located near Yuma. It also includes oil-only power plants, which include Douglas and Yucca GT-4.</v>
    <v>94</v>
    <v>New York Stock Exchange</v>
    <v>XNYS</v>
    <v>XNYS</v>
    <v>400 North 5th Street, PHOENIX, AZ, 85004 US</v>
    <v>92.68</v>
    <v>Electrical Utilities &amp; IPPs</v>
    <v>Stock</v>
    <v>46288.984323830467</v>
    <v>86</v>
    <v>91.45</v>
    <v>11156202260</v>
    <v>PINNACLE WEST CAPITAL CORPORATION</v>
    <v>PINNACLE WEST CAPITAL CORPORATION</v>
    <v>92.68</v>
    <v>17.652699999999999</v>
    <v>93.16</v>
    <v>92.05</v>
    <v>92.05</v>
    <v>121197200</v>
    <v>PNW</v>
    <v>PINNACLE WEST CAPITAL CORPORATION (XNYS:PNW)</v>
    <v>1213041</v>
    <v>988244</v>
    <v>1985</v>
  </rv>
  <rv s="1">
    <v>87</v>
  </rv>
  <rv s="2">
    <v>https://www.bing.com/financeapi/forcetrigger?t=a1x1mw&amp;q=XNAS%3aLNT&amp;form=skydnc</v>
    <v>Learn more on Bing</v>
  </rv>
  <rv s="3">
    <v>5</v>
    <v>ALLIANT ENERGY CORPORATION (XNAS:LNT)</v>
    <v>6</v>
    <v>3</v>
    <v>Finance</v>
    <v>4</v>
    <v>en-US</v>
    <v>a1x1mw</v>
    <v>268435456</v>
    <v>1</v>
    <v>Powered by Refinitiv</v>
    <v>78.81</v>
    <v>63.555</v>
    <v>0.5071</v>
    <v>-0.93</v>
    <v>-1.4392E-2</v>
    <v>-0.17</v>
    <v>-2.6690000000000004E-3</v>
    <v>USD</v>
    <v>Alliant Energy Corporation operates as a regulated investor-owned public utility holding company. Its primary focus is to provide regulated electric and natural gas services to its customers in the Midwest through its two public utility subsidiaries: Interstate Power and Light Company (IPL) and Wisconsin Power and Light Company (WPL). Its non-utility holdings are organized under Alliant Energy Finance, LLC. Its segments include IPL and WPL. IPL is a public utility engaged principally in the generation and distribution of electricity and the distribution and transportation of natural gas to retail customers in select markets in Iowa. IPL also sells electricity to wholesale customers in Illinois and Iowa. WPL is a public utility engaged principally in the generation and distribution of electricity and the distribution of and transportation of natural gas to retail customers in select markets in Wisconsin. WPL also sells electricity to wholesale customers in Wisconsin.</v>
    <v>2948</v>
    <v>Nasdaq Stock Market</v>
    <v>XNAS</v>
    <v>XNAS</v>
    <v>4902 North Biltmore Lane, Suite 1000, MADISON, WI, 53718-2148 US</v>
    <v>64.655000000000001</v>
    <v>Electrical Utilities &amp; IPPs</v>
    <v>Stock</v>
    <v>46288.989952001561</v>
    <v>89</v>
    <v>63.555</v>
    <v>16513842543</v>
    <v>ALLIANT ENERGY CORPORATION</v>
    <v>ALLIANT ENERGY CORPORATION</v>
    <v>64.655000000000001</v>
    <v>20.475200000000001</v>
    <v>64.62</v>
    <v>63.69</v>
    <v>63.52</v>
    <v>259284700</v>
    <v>LNT</v>
    <v>ALLIANT ENERGY CORPORATION (XNAS:LNT)</v>
    <v>2952343</v>
    <v>2086697</v>
    <v>1981</v>
  </rv>
  <rv s="1">
    <v>90</v>
  </rv>
  <rv s="2">
    <v>https://www.bing.com/financeapi/forcetrigger?t=a1o3c7&amp;q=XNYS%3aAYI&amp;form=skydnc</v>
    <v>Learn more on Bing</v>
  </rv>
  <rv s="3">
    <v>5</v>
    <v>ACUITY INC. (XNYS:AYI)</v>
    <v>6</v>
    <v>3</v>
    <v>Finance</v>
    <v>4</v>
    <v>en-US</v>
    <v>a1o3c7</v>
    <v>268435456</v>
    <v>1</v>
    <v>Powered by Refinitiv</v>
    <v>380.16989999999998</v>
    <v>257.04000000000002</v>
    <v>1.2918000000000001</v>
    <v>-4.71</v>
    <v>-1.5156000000000001E-2</v>
    <v>0.04</v>
    <v>1.3070000000000001E-4</v>
    <v>USD</v>
    <v>Acuity Inc. is an industrial technology company. The Company uses technology to solve problems in space and light. The Company offers products and services, including lighting, lighting controls, building management solutions, and an audio, video, and control platform. The Company's segments include Acuity Brands Lighting (ABL) and Acuity Intelligent Spaces (AIS). The ABL segment includes portfolio of products includes, but is not limited to the following brands: AculuxTM, American Electric Lighting, CycloneTM, Dark to Light, eldoLED, Eureka, FrescoTM, Gotham, Healthcare Lighting, Holophane, Hydrel, IOTA, Juno, Lithonia Lighting, Luminaire LEDTM, Luminis, Mark Architectural LightingTM, NightingaleTM, nLight, Peerless, RELOC Wiring Solutions, and SensorSwitchTM. The AIS segment through Atrius, Distech Controls, and QSC, offers technologies used by people in spaces and by those who manage those spaces.</v>
    <v>13800</v>
    <v>New York Stock Exchange</v>
    <v>XNYS</v>
    <v>XNYS</v>
    <v>1170 Peachtree Street Ne, Suite 1200, ATLANTA, GA, 30309 US</v>
    <v>314.82</v>
    <v>Homebuilding &amp; Construction Supplies</v>
    <v>Stock</v>
    <v>46288.979248402342</v>
    <v>92</v>
    <v>305.25</v>
    <v>9162074433</v>
    <v>ACUITY INC.</v>
    <v>ACUITY INC.</v>
    <v>309.60000000000002</v>
    <v>20.304400000000001</v>
    <v>310.77</v>
    <v>306.06</v>
    <v>306.10000000000002</v>
    <v>29935550</v>
    <v>AYI</v>
    <v>ACUITY INC. (XNYS:AYI)</v>
    <v>332490</v>
    <v>237710</v>
    <v>2007</v>
  </rv>
  <rv s="1">
    <v>93</v>
  </rv>
  <rv s="2">
    <v>https://www.bing.com/financeapi/forcetrigger?t=a1u1z2&amp;q=XNYS%3aGNRC&amp;form=skydnc</v>
    <v>Learn more on Bing</v>
  </rv>
  <rv s="3">
    <v>5</v>
    <v>GENERAC HOLDINGS INC. (XNYS:GNRC)</v>
    <v>6</v>
    <v>3</v>
    <v>Finance</v>
    <v>4</v>
    <v>en-US</v>
    <v>a1u1z2</v>
    <v>268435456</v>
    <v>1</v>
    <v>Powered by Refinitiv</v>
    <v>296.44</v>
    <v>134.80000000000001</v>
    <v>1.9337</v>
    <v>-6.75</v>
    <v>-3.2739999999999998E-2</v>
    <v>0.18</v>
    <v>9.0260000000000004E-4</v>
    <v>USD</v>
    <v>Generac Holdings Inc. is a global designer, manufacturer, and provider of a range of energy technology solutions. It offers power generation equipment, energy storage systems, energy management devices and solutions, and other power products and services serving residential, commercial, data center, telecom, and industrial markets. Its segments include Domestic and International. Domestic segment includes its business and all historical acquisitions based in the United States and Canada. International segment includes all historical acquisitions not based in the United States and Canada. It has developed a line of energy storage systems for use in residential solar-plus-storage applications, as well as microinverters for residential solar energy production. It has a selection of energy monitoring and management devices and controls that serve as the central hub for its residential and C&amp;I energy ecosystems. It designs and manufactures other power products, including light towers.</v>
    <v>9400</v>
    <v>New York Stock Exchange</v>
    <v>XNYS</v>
    <v>XNYS</v>
    <v>S45 W29290 HIGHWAY 59, WAUKESHA, WI, 53187 US</v>
    <v>206.29</v>
    <v>Machinery, Equipment &amp; Components</v>
    <v>Stock</v>
    <v>46288.999469305469</v>
    <v>95</v>
    <v>198.78</v>
    <v>11778530914</v>
    <v>GENERAC HOLDINGS INC.</v>
    <v>GENERAC HOLDINGS INC.</v>
    <v>204.39</v>
    <v>45.970500000000001</v>
    <v>206.17</v>
    <v>199.42</v>
    <v>199.6</v>
    <v>59063940</v>
    <v>GNRC</v>
    <v>GENERAC HOLDINGS INC. (XNYS:GNRC)</v>
    <v>1116852</v>
    <v>1388200</v>
    <v>2006</v>
  </rv>
  <rv s="1">
    <v>96</v>
  </rv>
  <rv s="2">
    <v>https://www.bing.com/financeapi/forcetrigger?t=a1rzpr&amp;q=XNYS%3aENS&amp;form=skydnc</v>
    <v>Learn more on Bing</v>
  </rv>
  <rv s="3">
    <v>5</v>
    <v>ENERSYS (XNYS:ENS)</v>
    <v>6</v>
    <v>3</v>
    <v>Finance</v>
    <v>4</v>
    <v>en-US</v>
    <v>a1rzpr</v>
    <v>268435456</v>
    <v>1</v>
    <v>Powered by Refinitiv</v>
    <v>244.3</v>
    <v>108.185</v>
    <v>1.1854</v>
    <v>-0.27</v>
    <v>-1.5020000000000001E-3</v>
    <v>-0.39</v>
    <v>-2.173E-3</v>
    <v>USD</v>
    <v>EnerSys specializes in stored energy solutions for industrial applications. The Company designs, manufactures and distributes energy systems solutions and motive power batteries, specialty batteries, battery chargers, power equipment, battery accessories and outdoor equipment enclosure solutions to customers worldwide. The Company’s segment includes Energy Systems, Motive Power, Specialty and New Ventures. Energy Systems, which combine power conversion, power distribution, energy storage, and enclosures. Motive power batteries and chargers are utilized in electric forklift trucks and other industrial electric powered vehicles. Specialty batteries are used in aerospace and defense applications, portable power solutions for soldiers in the field, large over-the-road trucks, and other applications. New Ventures provides energy storage and management systems for various applications, including demand charge reduction, utility back-up power, and dynamic fast charging for electric vehicles.</v>
    <v>9682</v>
    <v>New York Stock Exchange</v>
    <v>XNYS</v>
    <v>XNYS</v>
    <v>2366 Bernville Road, READING, PA, 19605 US</v>
    <v>179.93</v>
    <v>Machinery, Equipment &amp; Components</v>
    <v>Stock</v>
    <v>46288.97924453672</v>
    <v>98</v>
    <v>175.59</v>
    <v>6473346337</v>
    <v>ENERSYS</v>
    <v>ENERSYS</v>
    <v>178.38</v>
    <v>19.227399999999999</v>
    <v>179.76</v>
    <v>179.49</v>
    <v>179.1</v>
    <v>36065220</v>
    <v>ENS</v>
    <v>ENERSYS (XNYS:ENS)</v>
    <v>416550</v>
    <v>557989</v>
    <v>2000</v>
  </rv>
  <rv s="1">
    <v>99</v>
  </rv>
  <rv s="2">
    <v>https://www.bing.com/financeapi/forcetrigger?t=a23n27&amp;q=XNYS%3aST&amp;form=skydnc</v>
    <v>Learn more on Bing</v>
  </rv>
  <rv s="3">
    <v>5</v>
    <v>SENSATA TECHNOLOGIES HOLDING PLC (XNYS:ST)</v>
    <v>6</v>
    <v>3</v>
    <v>Finance</v>
    <v>4</v>
    <v>en-US</v>
    <v>a23n27</v>
    <v>268435456</v>
    <v>1</v>
    <v>Powered by Refinitiv</v>
    <v>53.89</v>
    <v>28.1601</v>
    <v>1.2464999999999999</v>
    <v>-0.65</v>
    <v>-1.5417E-2</v>
    <v>0</v>
    <v>0</v>
    <v>USD</v>
    <v>Sensata Technologies Holding plc is a global industrial technology company that develops, manufactures, and sells sensors and sensor-rich solutions, electrical protection components and systems, and other products. Its Performance Sensing segment serves the automotive and heavy vehicle and off-road industries through its development and manufacture of sensors, high-voltage solutions (electrical protection components), and other solutions. Its Sensing Solutions segment serves the industrial and aerospace industries through development and manufacture of a portfolio of application specific sensor and electrical protection products used in a range of industrial markets, including the appliance, heating, ventilation, and air conditioning, water management, operator controls, charging infrastructure, renewable energy generation, green hydrogen production, and microgrid applications and markets, as well as the aerospace market, including commercial aircraft, defense, and aftermarket markets.</v>
    <v>16700</v>
    <v>New York Stock Exchange</v>
    <v>XNYS</v>
    <v>XNYS</v>
    <v>529 Pleasant Street, ATTLEBORO, MA, 02703 US</v>
    <v>42.13</v>
    <v>Electronic Equipment &amp; Parts</v>
    <v>Stock</v>
    <v>46288.979248772659</v>
    <v>101</v>
    <v>41.22</v>
    <v>6041195209</v>
    <v>SENSATA TECHNOLOGIES HOLDING PLC</v>
    <v>SENSATA TECHNOLOGIES HOLDING PLC</v>
    <v>41.7</v>
    <v>69.010800000000003</v>
    <v>42.16</v>
    <v>41.51</v>
    <v>41.51</v>
    <v>145535900</v>
    <v>ST</v>
    <v>SENSATA TECHNOLOGIES HOLDING PLC (XNYS:ST)</v>
    <v>1286263</v>
    <v>1420996</v>
    <v>2017</v>
  </rv>
  <rv s="1">
    <v>102</v>
  </rv>
  <rv s="2">
    <v>https://www.bing.com/financeapi/forcetrigger?t=a213qh&amp;q=XNYS%3aPOR&amp;form=skydnc</v>
    <v>Learn more on Bing</v>
  </rv>
  <rv s="3">
    <v>5</v>
    <v>PORTLAND GENERAL ELECTRIC COMPANY (XNYS:POR)</v>
    <v>6</v>
    <v>3</v>
    <v>Finance</v>
    <v>4</v>
    <v>en-US</v>
    <v>a213qh</v>
    <v>268435456</v>
    <v>1</v>
    <v>Powered by Refinitiv</v>
    <v>54.62</v>
    <v>42.564999999999998</v>
    <v>0.50049999999999994</v>
    <v>-0.45</v>
    <v>-9.4999999999999998E-3</v>
    <v>0.28000000000000003</v>
    <v>5.9680000000000002E-3</v>
    <v>USD</v>
    <v>Portland General Electric Company is an integrated energy company that generates, transmits and distributes electricity. The Company is engaged in the generation, wholesale purchase and sale, transmission, distribution, and retail sale of electricity to customers in the state of Oregon (State). The Company participates in the wholesale market through the purchase and sale of electricity and natural gas in an effort to obtain reasonably-priced power to serve its retail customers. The Company meets its retail load requirement with both Company-owned generation and power purchased on the wholesale market. The Company has five natural gas-fired generating facilities: PW1, PW2, Beaver, Coyote Springs Unit 1 (Coyote Springs), and Carty Generating Station (Carty). It owns and operates two wind farms, Biglow Canyon Wind Farm (Biglow Canyon) and Tucannon River Wind Farm (Tucannon River). Biglow Canyon is located in Sherman County, Oregon. Tucannon River is located in southeastern Washington.</v>
    <v>2877</v>
    <v>New York Stock Exchange</v>
    <v>XNYS</v>
    <v>XNYS</v>
    <v>121 Sw Salmon St, 1Wtc1301, PORTLAND, OR, 97204 US</v>
    <v>47.45</v>
    <v>Electrical Utilities &amp; IPPs</v>
    <v>Stock</v>
    <v>46288.979474733591</v>
    <v>104</v>
    <v>46.674999999999997</v>
    <v>5518153284</v>
    <v>PORTLAND GENERAL ELECTRIC COMPANY</v>
    <v>PORTLAND GENERAL ELECTRIC COMPANY</v>
    <v>47.22</v>
    <v>20.6951</v>
    <v>47.37</v>
    <v>46.92</v>
    <v>47.2</v>
    <v>117607700</v>
    <v>POR</v>
    <v>PORTLAND GENERAL ELECTRIC COMPANY (XNYS:POR)</v>
    <v>1633599</v>
    <v>1052144</v>
    <v>1930</v>
  </rv>
  <rv s="1">
    <v>105</v>
  </rv>
  <rv s="0">
    <v>0</v>
    <v>NEXTPOWER INC. (XNAS:NXT)</v>
    <v>2</v>
    <v>3</v>
    <v>Finance</v>
    <v>4</v>
    <v>en-US</v>
    <v>c8ssgh</v>
    <v>268435456</v>
    <v>1</v>
    <v>Powered by Refinitiv</v>
    <v>163.13</v>
    <v>69.22</v>
    <v>1.9249000000000001</v>
    <v>-0.71</v>
    <v>-8.6040000000000005E-3</v>
    <v>0.2</v>
    <v>2.4450000000000001E-3</v>
    <v>USD</v>
    <v>Nextpower Inc. is a global provider of solar and energy technology solutions for utility-scale power plants. The Company specializes in solar tracking systems. The Company delivers an integrated suite of structural, electrical, and digital solutions across the full lifecycle of solar power plants, from design and construction through operations and maintenance. The Company delivers intelligent power generation systems and services. The Company has developed solar trackers that enable rows to move independently. Its TrueCapture energy yield management system addresses power production shortfalls due to the variability of real-world site conditions. Its customers include engineering, procurement and construction firms (EPCs), as well as solar project developers and owners. Its products include trackers, foundations, software, eBOS, controls, and module frames. Its trackers include NX Horizon, NX Horizon-XTR and NX Horizon Low Carbon. Its solutions include AgriPV, and Risk and Resilience.</v>
    <v>1993</v>
    <v>Nasdaq Stock Market</v>
    <v>XNAS</v>
    <v>XNAS</v>
    <v>6200 Paseo Padre Parkway, FREMONT, CA, 94555 US</v>
    <v>84.06</v>
    <v>Renewable Energy</v>
    <v>Stock</v>
    <v>46288.999565092185</v>
    <v>81.489999999999995</v>
    <v>12412990395</v>
    <v>NEXTPOWER INC.</v>
    <v>NEXTPOWER INC.</v>
    <v>82.88</v>
    <v>21.203600000000002</v>
    <v>82.52</v>
    <v>81.81</v>
    <v>82.01</v>
    <v>151729500</v>
    <v>NXT</v>
    <v>NEXTPOWER INC. (XNAS:NXT)</v>
    <v>1712997</v>
    <v>2190314</v>
    <v>2022</v>
  </rv>
  <rv s="1">
    <v>107</v>
  </rv>
  <rv s="2">
    <v>https://www.bing.com/financeapi/forcetrigger?t=a1z4xm&amp;q=XNYS%3aOGE&amp;form=skydnc</v>
    <v>Learn more on Bing</v>
  </rv>
  <rv s="3">
    <v>5</v>
    <v>OGE ENERGY CORP. (XNYS:OGE)</v>
    <v>6</v>
    <v>3</v>
    <v>Finance</v>
    <v>4</v>
    <v>en-US</v>
    <v>a1z4xm</v>
    <v>268435456</v>
    <v>1</v>
    <v>Powered by Refinitiv</v>
    <v>50.59</v>
    <v>41.695</v>
    <v>0.48720000000000002</v>
    <v>-0.4</v>
    <v>-8.8669999999999999E-3</v>
    <v>-0.11</v>
    <v>-2.4599999999999999E-3</v>
    <v>USD</v>
    <v>OGE Energy Corp. is a holding company whose primary investment provides electricity in Oklahoma and western Arkansas. The Company's electrical operations are conducted through its wholly owned subsidiary, Oklahoma Gas and Electric Company (OG&amp;E), which generates, transmits, distributes, and sells electric energy in Oklahoma and western Arkansas. OG&amp;E provides retail electric service to approximately 913,000 customers in Oklahoma and western Arkansas throughout a service area that covers over 30,000 square miles, including Oklahoma City, Fort Smith, Arkansas, and other large communities with their contiguous rural and suburban areas. The Company’s other operations primarily include the operations of the holding company and other energy-related investments. It offers residential and business solutions. Its residential solutions include start/stop/transfer, bill pay, billing &amp; payment, rate plans, myOGEalerts, silver energy, construction services and others.</v>
    <v>2248</v>
    <v>New York Stock Exchange</v>
    <v>XNYS</v>
    <v>XNYS</v>
    <v>321 North Harvey, P.O. Box 321, OKLAHOMA CITY, OK, 73101-0321 US</v>
    <v>45.064999999999998</v>
    <v>Electrical Utilities &amp; IPPs</v>
    <v>Stock</v>
    <v>46288.996781805472</v>
    <v>109</v>
    <v>44.48</v>
    <v>9236249923</v>
    <v>OGE ENERGY CORP.</v>
    <v>OGE ENERGY CORP.</v>
    <v>44.97</v>
    <v>19.7362</v>
    <v>45.11</v>
    <v>44.71</v>
    <v>44.6</v>
    <v>206581300</v>
    <v>OGE</v>
    <v>OGE ENERGY CORP. (XNYS:OGE)</v>
    <v>1856839</v>
    <v>1500734</v>
    <v>1995</v>
  </rv>
  <rv s="1">
    <v>110</v>
  </rv>
  <rv s="2">
    <v>https://www.bing.com/financeapi/forcetrigger?t=a1ukfr&amp;q=XNYS%3aHE&amp;form=skydnc</v>
    <v>Learn more on Bing</v>
  </rv>
  <rv s="3">
    <v>5</v>
    <v>HAWAIIAN ELECTRIC INDUSTRIES, INC. (XNYS:HE)</v>
    <v>6</v>
    <v>3</v>
    <v>Finance</v>
    <v>4</v>
    <v>en-US</v>
    <v>a1ukfr</v>
    <v>268435456</v>
    <v>1</v>
    <v>Powered by Refinitiv</v>
    <v>17.375</v>
    <v>9.2100000000000009</v>
    <v>0.48159999999999997</v>
    <v>-0.41</v>
    <v>-4.2575000000000002E-2</v>
    <v>-0.01</v>
    <v>-1.085E-3</v>
    <v>USD</v>
    <v>Hawaiian Electric Industries, Inc. is a holding company that provides energy services. The Company’s subsidiaries are principally engaged in electric utility and non-regulated renewable/sustainable infrastructure businesses operating in the State of Hawaii. Its electric utility, Hawaiian Electric Company, Inc. (Hawaiian Electric), supplies power to approximately 95% of Hawaii’s population. The Company operates through the electric utility segment. Hawaiian Electric and its operating utility subsidiaries, Hawaii Electric Light Company, Inc. (Hawaii Electric Light) and Maui Electric Company, Limited (Maui Electric), are regulated electric utilities that provide essential electric service to approximately 95% of Hawaii’s population through the operation of five separate grids that serve communities on the islands of Oahu, Hawaii, Maui, Lanai and Molokai. Its subsidiary, Pacific Current, LLC, invests in non-regulated clean energy and sustainable infrastructure in the State of Hawaii.</v>
    <v>2659</v>
    <v>New York Stock Exchange</v>
    <v>XNYS</v>
    <v>XNYS</v>
    <v>1001 Bishop Street, Suite 2900, HONOLULU, HI, 96813 US</v>
    <v>9.6199999999999992</v>
    <v>Electrical Utilities &amp; IPPs</v>
    <v>Stock</v>
    <v>46288.999220647653</v>
    <v>112</v>
    <v>9.2100000000000009</v>
    <v>1595261918</v>
    <v>HAWAIIAN ELECTRIC INDUSTRIES, INC.</v>
    <v>HAWAIIAN ELECTRIC INDUSTRIES, INC.</v>
    <v>9.6199999999999992</v>
    <v>7.1302000000000003</v>
    <v>9.6300000000000008</v>
    <v>9.2200000000000006</v>
    <v>9.2100000000000009</v>
    <v>173021900</v>
    <v>HE</v>
    <v>HAWAIIAN ELECTRIC INDUSTRIES, INC. (XNYS:HE)</v>
    <v>2445895</v>
    <v>2681373</v>
    <v>1981</v>
  </rv>
  <rv s="1">
    <v>113</v>
  </rv>
  <rv s="2">
    <v>https://www.bing.com/financeapi/forcetrigger?t=a22b77&amp;q=XNAS%3aRUN&amp;form=skydnc</v>
    <v>Learn more on Bing</v>
  </rv>
  <rv s="3">
    <v>5</v>
    <v>SUNRUN INC. (XNAS:RUN)</v>
    <v>6</v>
    <v>3</v>
    <v>Finance</v>
    <v>4</v>
    <v>en-US</v>
    <v>a22b77</v>
    <v>268435456</v>
    <v>1</v>
    <v>Powered by Refinitiv</v>
    <v>22.44</v>
    <v>8.1850000000000005</v>
    <v>2.4281000000000001</v>
    <v>-0.44</v>
    <v>-5.0056999999999997E-2</v>
    <v>0.04</v>
    <v>4.79E-3</v>
    <v>USD</v>
    <v>Sunrun Inc. is a provider of clean energy as a subscription service. It is engaged in the design, development, installation, sale, ownership and maintenance of residential solar energy systems (Projects) in the United States. It provides clean, solar energy typically at savings compared to traditional utility energy. Its primary customers are residential homeowners. It also offers battery storage along with solar energy systems to its customers in select markets and sells its services to certain commercial developers through its multifamily and new homes offerings. It installs solar energy systems on its customers' homes and provides them with the solar power produced by those systems for typically a 20- or 25-year initial term. It monitors, maintains and insures the system during the term of the contract. It also provides electric vehicle (EV) chargers, battery retrofits, re-powered or expanding systems, home energy management services, and other home electrification products.</v>
    <v>9059</v>
    <v>Nasdaq Stock Market</v>
    <v>XNAS</v>
    <v>XNAS</v>
    <v>600 California Street, Suite 1800, SAN FRANCISCO, CA, 94108 US</v>
    <v>8.77</v>
    <v>Renewable Energy</v>
    <v>Stock</v>
    <v>46288.999373437502</v>
    <v>115</v>
    <v>8.32</v>
    <v>2011072450</v>
    <v>SUNRUN INC.</v>
    <v>SUNRUN INC.</v>
    <v>8.74</v>
    <v>5.6429999999999998</v>
    <v>8.7899999999999991</v>
    <v>8.35</v>
    <v>8.39</v>
    <v>240847000</v>
    <v>RUN</v>
    <v>SUNRUN INC. (XNAS:RUN)</v>
    <v>8922488</v>
    <v>7268062</v>
    <v>2008</v>
  </rv>
  <rv s="1">
    <v>116</v>
  </rv>
  <rv s="2">
    <v>https://www.bing.com/financeapi/forcetrigger?t=a1nvvh&amp;q=XNYS%3aATKR&amp;form=skydnc</v>
    <v>Learn more on Bing</v>
  </rv>
  <rv s="7">
    <v>12</v>
    <v>ATKORE INC. (XNYS:ATKR)</v>
    <v>6</v>
    <v>13</v>
    <v>Finance</v>
    <v>4</v>
    <v>en-US</v>
    <v>a1nvvh</v>
    <v>268435456</v>
    <v>1</v>
    <v>Powered by Refinitiv</v>
    <v>94.65</v>
    <v>53.75</v>
    <v>1.6963999999999999</v>
    <v>0.01</v>
    <v>1.0580000000000001E-4</v>
    <v>0</v>
    <v>0</v>
    <v>USD</v>
    <v>Atkore Inc. is a manufacturer of electrical products for commercial, industrial, data center, telecommunications, and solar applications. The Company's segments include Electrical and Safety &amp; Infrastructure. The Electrical segment manufactures products used in the construction of electrical power systems including conduit, cable and installation accessories. This segment serves contractors in partnership with the electrical wholesale channel. The Safety &amp; Infrastructure segment designs and manufactures solutions including metal framing, mechanical pipe, perimeter security and cable management for the protection and reliability of critical infrastructure. These solutions are marketed to contractors, original equipment manufacturers, and end-users. Its product categories include Conduit, Armored &amp; Metal Clad Cable, Cable Tray Systems, Global Unistrut Construction Services, Mechanical Tubing, Pre-Wired &amp; Modular Devices, Security Products, Strut &amp; Fittings, Traffic Products, and others.</v>
    <v>5400</v>
    <v>New York Stock Exchange</v>
    <v>XNYS</v>
    <v>XNYS</v>
    <v>16100 SOUTH LATHROP AVENUE, HARVEY, IL, 60426 US</v>
    <v>94.56</v>
    <v>Machinery, Equipment &amp; Components</v>
    <v>Stock</v>
    <v>46288.979237175779</v>
    <v>118</v>
    <v>94.49</v>
    <v>3191891900</v>
    <v>ATKORE INC.</v>
    <v>ATKORE INC.</v>
    <v>94.55</v>
    <v>94.5</v>
    <v>94.51</v>
    <v>94.51</v>
    <v>33773060</v>
    <v>ATKR</v>
    <v>ATKORE INC. (XNYS:ATKR)</v>
    <v>340107</v>
    <v>721390</v>
    <v>2010</v>
  </rv>
  <rv s="1">
    <v>119</v>
  </rv>
  <rv s="0">
    <v>0</v>
    <v>TALEN ENERGY CORP (XNAS:TLN)</v>
    <v>2</v>
    <v>3</v>
    <v>Finance</v>
    <v>4</v>
    <v>en-US</v>
    <v>c9xdim</v>
    <v>268435456</v>
    <v>1</v>
    <v>Powered by Refinitiv</v>
    <v>451.28</v>
    <v>279.77</v>
    <v>1.5189999999999999</v>
    <v>5.8</v>
    <v>1.9692000000000001E-2</v>
    <v>-5.34</v>
    <v>-1.7780000000000001E-2</v>
    <v>USD</v>
    <v>Talen Energy Corporation is an independent power producer and energy infrastructure company. It owns and operates approximately 15.7 gigawatts of power infrastructure in the United States, including 2.2 gigawatts of nuclear power and a dispatchable fossil fleet. It produces and sells electricity, capacity, and ancillary services into wholesale U.S. power markets, with its generation fleet located in the Mid-Atlantic, Ohio and Montana. Its PJM segment is engaged in electricity generation, marketing activities, commodity risk and fuel management within the PJM RTO or ISO markets and comprises Susquehanna and Talen’s natural gas and coal generation facilities. Its Other segment includes the operating and marketing activities of Montana’s proportionate share of Colstrip in the WECC market and other non-material operating and development activities. Its power generation assets provide reliable and dispatchable energy for the requirements of commercial, industrial and residential customers.</v>
    <v>1880</v>
    <v>Nasdaq Stock Market</v>
    <v>XNAS</v>
    <v>XNAS</v>
    <v>2929 Allen Pkwy, Suite 2200, HOUSTON, TX, 77019 US</v>
    <v>302.56</v>
    <v>Electrical Utilities &amp; IPPs</v>
    <v>Stock</v>
    <v>46288.989519282033</v>
    <v>288.17</v>
    <v>14390568848</v>
    <v>TALEN ENERGY CORP</v>
    <v>TALEN ENERGY CORP</v>
    <v>292.29000000000002</v>
    <v>0</v>
    <v>294.54000000000002</v>
    <v>300.33999999999997</v>
    <v>295</v>
    <v>47914260</v>
    <v>TLN</v>
    <v>TALEN ENERGY CORP (XNAS:TLN)</v>
    <v>924775</v>
    <v>860633</v>
    <v>2014</v>
  </rv>
  <rv s="1">
    <v>121</v>
  </rv>
  <rv s="2">
    <v>https://www.bing.com/financeapi/forcetrigger?t=aaxlm7&amp;q=XTSE%3aCPX&amp;form=skydnc</v>
    <v>Learn more on Bing</v>
  </rv>
  <rv s="3">
    <v>5</v>
    <v>CAPITAL POWER CORPORATION (XTSE:CPX)</v>
    <v>6</v>
    <v>14</v>
    <v>Finance</v>
    <v>15</v>
    <v>en-US</v>
    <v>aaxlm7</v>
    <v>268435456</v>
    <v>1</v>
    <v>Powered by Refinitiv</v>
    <v>77.02</v>
    <v>56.48</v>
    <v>0.39879999999999999</v>
    <v>0.28000000000000003</v>
    <v>4.4940000000000006E-3</v>
    <v>0</v>
    <v>0</v>
    <v>CAD</v>
    <v>Capital Power Corporation is a growth-oriented power producing company. The Company develops, acquires, owns, and operates utility-scale renewable and flexible generation (natural gas generation assets and energy storage) facilities and manages its related electricity and natural gas portfolios by undertaking trading and marketing activities. It is involved in the operation of electrical generation facilities within Canada and in the United States. It has approximately 12 gigawatts (GW) of power generation capacity at 32 facilities across North America. Its La Paloma facility is 1,062 megawatts (MW) combined cycle gas-generation facility located in Kern County, California. The Company operates Harquahala, which is a 1,092 MW combined cycle gas-generation facility located in Maricopa County, Arizona. Hummel is a 1,124 MW combined cycle flexible generation facility located in Shamokin Dam, Pennsylvania. Joffre Cogeneration is a 480 MW natural gas-fired combined-cycle generation facility.</v>
    <v>741</v>
    <v>Toronto Stock Exchange</v>
    <v>XTSE</v>
    <v>XTSE</v>
    <v>1200-10423 101 St NW, EDMONTON, AB, T5H 0E9 CA</v>
    <v>62.74</v>
    <v>Electrical Utilities &amp; IPPs</v>
    <v>Stock</v>
    <v>46288.833333333336</v>
    <v>123</v>
    <v>61.66</v>
    <v>9818101104</v>
    <v>CAPITAL POWER CORPORATION</v>
    <v>CAPITAL POWER CORPORATION</v>
    <v>62.3</v>
    <v>118.4958</v>
    <v>62.3</v>
    <v>62.58</v>
    <v>62.58</v>
    <v>156888800</v>
    <v>CPX</v>
    <v>CAPITAL POWER CORPORATION (XTSE:CPX)</v>
    <v>654677</v>
    <v>748570</v>
    <v>2009</v>
  </rv>
  <rv s="1">
    <v>124</v>
  </rv>
  <rv s="2">
    <v>https://www.bing.com/financeapi/forcetrigger?t=c3lonm&amp;q=XNAS%3aFLNC&amp;form=skydnc</v>
    <v>Learn more on Bing</v>
  </rv>
  <rv s="3">
    <v>5</v>
    <v>Fluence Energy Inc (XNAS:FLNC)</v>
    <v>6</v>
    <v>3</v>
    <v>Finance</v>
    <v>4</v>
    <v>en-US</v>
    <v>c3lonm</v>
    <v>268435456</v>
    <v>1</v>
    <v>Powered by Refinitiv</v>
    <v>33.51</v>
    <v>7.01</v>
    <v>2.7364000000000002</v>
    <v>0.31</v>
    <v>4.2640999999999998E-2</v>
    <v>0.04</v>
    <v>5.2769999999999996E-3</v>
    <v>USD</v>
    <v>Fluence Energy, Inc. is a global provider of energy storage products and services, and optimization software for renewables and storage. With a presence in 47 markets globally, the Company provides an ecosystem of offerings to drive the clean energy transition, including modular, scalable energy storage products, comprehensive service offerings, and artificial intelligence (AI)-enabled optimization software for managing and optimizing renewables and storage from any provider. Its offerings include energy storage products and solutions, delivery services, recurring O&amp;M services, and digital applications and solutions for energy storage and other power assets. Its energy storage solutions include Gridstack Pro, Gridstack, Sunstack, Edgestack, and Ultrastack. In addition, each of its energy storage solutions comes with its proprietary energy management system, Fluence OS. The Company’s cloud-based software products include Fluence Mosaic and Fluence Nispera.</v>
    <v>1670</v>
    <v>Nasdaq Stock Market</v>
    <v>XNAS</v>
    <v>XNAS</v>
    <v>4601 Fairfax Drive, Suite 600, ARLINGTON, VA, 22203 US</v>
    <v>7.71</v>
    <v>Renewable Energy</v>
    <v>Stock</v>
    <v>46288.999796260934</v>
    <v>126</v>
    <v>7.3856999999999999</v>
    <v>1399240712</v>
    <v>Fluence Energy Inc</v>
    <v>Fluence Energy Inc</v>
    <v>7.52</v>
    <v>0</v>
    <v>7.27</v>
    <v>7.58</v>
    <v>7.62</v>
    <v>184596400</v>
    <v>FLNC</v>
    <v>Fluence Energy Inc (XNAS:FLNC)</v>
    <v>11588464</v>
    <v>7743076</v>
    <v>2021</v>
  </rv>
  <rv s="1">
    <v>127</v>
  </rv>
  <rv s="2">
    <v>https://www.bing.com/financeapi/forcetrigger?t=a212r7&amp;q=XNYS%3aPNM&amp;form=skydnc</v>
    <v>Learn more on Bing</v>
  </rv>
  <rv s="3">
    <v>5</v>
    <v>TXNM Energy, Inc. (XNYS:TXNM)</v>
    <v>6</v>
    <v>3</v>
    <v>Finance</v>
    <v>4</v>
    <v>en-US</v>
    <v>a212r7</v>
    <v>268435456</v>
    <v>1</v>
    <v>Powered by Refinitiv</v>
    <v>59.53</v>
    <v>55.64</v>
    <v>0.1714</v>
    <v>-0.31</v>
    <v>-5.2869999999999992E-3</v>
    <v>0</v>
    <v>0</v>
    <v>USD</v>
    <v>TXNM Energy, Inc. is a holding company providing electricity and electric services in New Mexico and Texas, with two regulated utilities, Public Service Company of New Mexico (PNM) and Texas-New Mexico Power Company (TNMP). Its segments include PNM, TNMP, and Corporate and other. The PNM segment provides integrated electricity services that include the generation, transmission, and distribution of electricity for retail electric customers in New Mexico. The segment also includes the generation and sale of electricity into the wholesale market to serve its New Mexico retail customers. The TNMP segment provides transmission and distribution services at regulated rates to various REPs that, in turn, provide retail electric service to consumers within TNMP's service area. The segment also provides transmission services at regulated rates to other utilities that interconnect with TNMP’s facilities. The Corporate and Other segment includes TXNM holding company activities.</v>
    <v>1700</v>
    <v>New York Stock Exchange</v>
    <v>XNYS</v>
    <v>XNYS</v>
    <v>414 SILVER AVE. SW, ALBUQUERQUE, NM, 87102-3289 US</v>
    <v>58.74</v>
    <v>Electrical Utilities &amp; IPPs</v>
    <v>Stock</v>
    <v>46288.979246388284</v>
    <v>129</v>
    <v>58.32</v>
    <v>6422536656</v>
    <v>TXNM Energy, Inc.</v>
    <v>TXNM Energy, Inc.</v>
    <v>58.63</v>
    <v>32.389200000000002</v>
    <v>58.63</v>
    <v>58.32</v>
    <v>58.32</v>
    <v>110125800</v>
    <v>TXNM</v>
    <v>TXNM Energy, Inc. (XNYS:TXNM)</v>
    <v>1620386</v>
    <v>1535434</v>
    <v>2000</v>
  </rv>
  <rv s="1">
    <v>130</v>
  </rv>
  <rv s="2">
    <v>https://www.bing.com/financeapi/forcetrigger?t=bn6lmw&amp;q=XNYS%3aBE&amp;form=skydnc</v>
    <v>Learn more on Bing</v>
  </rv>
  <rv s="3">
    <v>5</v>
    <v>BLOOM ENERGY CORPORATION (XNYS:BE)</v>
    <v>6</v>
    <v>3</v>
    <v>Finance</v>
    <v>4</v>
    <v>en-US</v>
    <v>bn6lmw</v>
    <v>268435456</v>
    <v>1</v>
    <v>Powered by Refinitiv</v>
    <v>351.28</v>
    <v>61.37</v>
    <v>3.8129</v>
    <v>-1.34</v>
    <v>-4.8459999999999996E-3</v>
    <v>0.37</v>
    <v>1.3450000000000001E-3</v>
    <v>USD</v>
    <v>Bloom Energy Corporation is engaged in stationary fuel cell power generation by market share. The Company provides distributed energy technology solutions to customers. The Company manufactures advanced and versatile fuel cell energy platforms, supporting the commercial availability of two products: the Bloom Energy Server for generating electricity and the Bloom Electrolyzer for producing hydrogen. With approximately 1.4 gigawatts (GW) of Energy Server systems deployed in more than 1,000 locations and nine countries. Its solid oxide fuel cell technology platform is the foundation for its Energy Server system and Bloom Electrolyzer. The Bloom Energy Server system is designed to deliver reliable, resilient, clean and affordable energy for utilities and organizations alike. Its Energy Server system is designed to deliver reliable electricity. The Bloom Electrolyzer is designed to provide hydrogen solutions based on the same solid oxide platform as its Energy Server systems.</v>
    <v>2214</v>
    <v>New York Stock Exchange</v>
    <v>XNYS</v>
    <v>XNYS</v>
    <v>4353 N 1st St, SAN JOSE, CA, 95134-1259 US</v>
    <v>282.63499999999999</v>
    <v>Machinery, Equipment &amp; Components</v>
    <v>Stock</v>
    <v>46288.999932985935</v>
    <v>132</v>
    <v>271.02499999999998</v>
    <v>81050967687</v>
    <v>BLOOM ENERGY CORPORATION</v>
    <v>BLOOM ENERGY CORPORATION</v>
    <v>276.96499999999997</v>
    <v>370.42669999999998</v>
    <v>276.52999999999997</v>
    <v>275.19</v>
    <v>275.56</v>
    <v>294527300</v>
    <v>BE</v>
    <v>BLOOM ENERGY CORPORATION (XNYS:BE)</v>
    <v>8193471</v>
    <v>15547838</v>
    <v>2001</v>
  </rv>
  <rv s="1">
    <v>133</v>
  </rv>
  <rv s="2">
    <v>https://www.bing.com/financeapi/forcetrigger?t=a1v9im&amp;q=XNYS%3aIDA&amp;form=skydnc</v>
    <v>Learn more on Bing</v>
  </rv>
  <rv s="3">
    <v>5</v>
    <v>IDACORP, INC. (XNYS:IDA)</v>
    <v>6</v>
    <v>3</v>
    <v>Finance</v>
    <v>4</v>
    <v>en-US</v>
    <v>a1v9im</v>
    <v>268435456</v>
    <v>1</v>
    <v>Powered by Refinitiv</v>
    <v>154.91</v>
    <v>124.12</v>
    <v>0.47299999999999998</v>
    <v>-1.67</v>
    <v>-1.2814000000000001E-2</v>
    <v>0</v>
    <v>0</v>
    <v>USD</v>
    <v>IDACORP, Inc. is a holding company. The Company operates through its subsidiary, Idaho Power Company (Idaho Power). Idaho Power is an electric utility engaged in the generation, transmission, distribution, sale, and purchase of electric energy and capacity and is regulated by the state regulatory commissions of Idaho and Oregon and by the Federal Energy Regulatory Commission (FERC). Idaho Power provides electric utility service to approximately 664,000 retail customers in southern Idaho and eastern Oregon. Its customers are in food processing, electronics and general manufacturing, agriculture, health care, government, education, and information technology. Idaho Power provides irrigation customers with electric utility service to operate irrigation pumps during the agricultural growing season. Its other subsidiaries include IDACORP Financial Services, Inc. (IFS), an investor in affordable housing and other real estate tax credit investments, and others.</v>
    <v>2174</v>
    <v>New York Stock Exchange</v>
    <v>XNYS</v>
    <v>XNYS</v>
    <v>1221 West Idaho Street, BOISE, ID, 83702-5627 US</v>
    <v>130.05000000000001</v>
    <v>Electrical Utilities &amp; IPPs</v>
    <v>Stock</v>
    <v>46288.979244524999</v>
    <v>135</v>
    <v>128.18</v>
    <v>7441956866</v>
    <v>IDACORP, INC.</v>
    <v>IDACORP, INC.</v>
    <v>129.83000000000001</v>
    <v>21.2879</v>
    <v>130.33000000000001</v>
    <v>128.66</v>
    <v>128.66</v>
    <v>57842040</v>
    <v>IDA</v>
    <v>IDACORP, INC. (XNYS:IDA)</v>
    <v>623012</v>
    <v>514079</v>
    <v>1998</v>
  </rv>
  <rv s="1">
    <v>136</v>
  </rv>
  <rv s="2">
    <v>https://www.bing.com/financeapi/forcetrigger?t=aaze8m&amp;q=XTSE%3aNPI&amp;form=skydnc</v>
    <v>Learn more on Bing</v>
  </rv>
  <rv s="3">
    <v>5</v>
    <v>NORTHLAND POWER INC (XTSE:NPI)</v>
    <v>6</v>
    <v>14</v>
    <v>Finance</v>
    <v>15</v>
    <v>en-US</v>
    <v>aaze8m</v>
    <v>268435456</v>
    <v>1</v>
    <v>Powered by Refinitiv</v>
    <v>25.99</v>
    <v>15.96</v>
    <v>0.57399999999999995</v>
    <v>0.01</v>
    <v>4.5170000000000003E-4</v>
    <v>0</v>
    <v>0</v>
    <v>CAD</v>
    <v>Northland Power Inc. is a Canada-based global power producer. The Company is developing, owning and operating a diversified mix of energy infrastructure assets including offshore and onshore wind, solar, battery energy storage, and natural gas, as well as supplying energy through a regulated utility. Its facilities produce electricity from clean-burning natural gas and renewable resources such as wind and solar. The Company’s segments include offshore wind facilities, onshore renewable facilities, natural gas facilities, and utilities. It owns or has an economic interest in approximately 3.5 GW of gross operating generating capacity, 2.2 GW under construction. Its projects include Baltic Power-Offshore Wind, ScotWind - Scottish Offshore Wind, Oneida Energy Storage, Jurassic Solar+ - Alberta Solar, Hai Long - Taiwanese Offshore Wind, High Bridge - New York Onshore Wind. The Company owns two BESS projects totaling over 300 MW /1.2 GWh in Poland.</v>
    <v>1139</v>
    <v>Toronto Stock Exchange</v>
    <v>XTSE</v>
    <v>XTSE</v>
    <v>30 St. Clair Avenue West, TORONTO, ON, M4V 3A1 CA</v>
    <v>22.21</v>
    <v>Electrical Utilities &amp; IPPs</v>
    <v>Stock</v>
    <v>46288.833333333336</v>
    <v>138</v>
    <v>21.95</v>
    <v>5792269300</v>
    <v>NORTHLAND POWER INC</v>
    <v>NORTHLAND POWER INC</v>
    <v>22.1</v>
    <v>0</v>
    <v>22.14</v>
    <v>22.15</v>
    <v>22.15</v>
    <v>261502000</v>
    <v>NPI</v>
    <v>NORTHLAND POWER INC (XTSE:NPI)</v>
    <v>1048247</v>
    <v>1176970</v>
    <v>2023</v>
  </rv>
  <rv s="1">
    <v>139</v>
  </rv>
  <rv s="2">
    <v>https://www.bing.com/financeapi/forcetrigger?t=ab1c7w&amp;q=XTSE%3aTA&amp;form=skydnc</v>
    <v>Learn more on Bing</v>
  </rv>
  <rv s="3">
    <v>5</v>
    <v>TransAlta Corporation (XTSE:TA)</v>
    <v>6</v>
    <v>14</v>
    <v>Finance</v>
    <v>15</v>
    <v>en-US</v>
    <v>ab1c7w</v>
    <v>268435456</v>
    <v>1</v>
    <v>Powered by Refinitiv</v>
    <v>25.024999999999999</v>
    <v>15.62</v>
    <v>0.50080000000000002</v>
    <v>7.0000000000000007E-2</v>
    <v>4.1640000000000002E-3</v>
    <v>0</v>
    <v>0</v>
    <v>CAD</v>
    <v>TransAlta Corporation owns, operates, and develops a diverse fleet of electrical power generation assets in Canada, the United States and Australia. It provides municipalities, medium and large industries, businesses, and utility customers with affordable, energy-efficient, and reliable power. Its portfolio includes hydro, wind, solar, battery storage, natural gas, and thermal power. Its segments include Hydro, Wind &amp; Solar, Gas, Energy Transition, Energy Marketing, and Corporate. It has over 88 energy assets in the portfolio. It has a diversified fleet of hydro, wind, solar, natural gas, and cogeneration generates over 9,000 megawatts of electricity. It delivers renewable energy solutions for large-scale commercial partners, including technology companies. It operates a fleet of electrical power generation assets, including Antrim Wind Project, Lakeswind Facility, Old Town Wind Project, White Rock East Project, Mass Solar Project, Fortescue River Gas Pipeline, and others.</v>
    <v>1350</v>
    <v>Toronto Stock Exchange</v>
    <v>XTSE</v>
    <v>XTSE</v>
    <v>TransAlta Place, 1400, 1100 - 1St Street S.E., CALGARY, AB, T2G 1B1 CA</v>
    <v>16.97</v>
    <v>Electrical Utilities &amp; IPPs</v>
    <v>Stock</v>
    <v>46288.833333333336</v>
    <v>141</v>
    <v>16.649999999999999</v>
    <v>5334505376</v>
    <v>TransAlta Corporation</v>
    <v>TransAlta Corporation</v>
    <v>16.809999999999999</v>
    <v>0</v>
    <v>16.809999999999999</v>
    <v>16.88</v>
    <v>16.88</v>
    <v>316025200</v>
    <v>TA</v>
    <v>TransAlta Corporation (XTSE:TA)</v>
    <v>2242087</v>
    <v>1967300</v>
    <v>2023</v>
  </rv>
  <rv s="1">
    <v>142</v>
  </rv>
  <rv s="2">
    <v>https://www.bing.com/financeapi/forcetrigger?t=a1zdlh&amp;q=XNAS%3aOTTR&amp;form=skydnc</v>
    <v>Learn more on Bing</v>
  </rv>
  <rv s="3">
    <v>5</v>
    <v>Otter Tail Corporation (XNAS:OTTR)</v>
    <v>6</v>
    <v>3</v>
    <v>Finance</v>
    <v>4</v>
    <v>en-US</v>
    <v>a1zdlh</v>
    <v>268435456</v>
    <v>1</v>
    <v>Powered by Refinitiv</v>
    <v>95.09</v>
    <v>74.150000000000006</v>
    <v>0.44779999999999998</v>
    <v>-1.08</v>
    <v>-1.1969E-2</v>
    <v>0</v>
    <v>0</v>
    <v>USD</v>
    <v>Otter Tail Corporation is a holding company, which invests in a portfolio of diversified operations, including electric utility, manufacturing, and plastic pipe businesses. The Company operates through three segments: Electric, Manufacturing, and Plastics. The Electric segment includes the generation, purchase, transmission, distribution, and sale of electric energy in western Minnesota, eastern North Dakota, and northeastern South Dakota. The Manufacturing segment consists of businesses which provide metal fabrication services and manufacture thermoformed plastic products. These businesses have manufacturing facilities in Georgia, Illinois and Minnesota and sell products primarily in the United States. The Plastics segment consists of businesses producing polyvinyl chloride (PVC) pipe primarily used in municipal water infrastructure at plants in North Dakota and Arizona. The PVC pipe is sold primarily in the western half of the United States and Canada.</v>
    <v>2198</v>
    <v>Nasdaq Stock Market</v>
    <v>XNAS</v>
    <v>XNAS</v>
    <v>P.O. Box 496, 215 S. Cascade Street, FERGUS FALLS, MN, 56538-0496 US</v>
    <v>90.22</v>
    <v>Electrical Utilities &amp; IPPs</v>
    <v>Stock</v>
    <v>46288.979194293752</v>
    <v>144</v>
    <v>88.054299999999998</v>
    <v>3743014457</v>
    <v>Otter Tail Corporation</v>
    <v>Otter Tail Corporation</v>
    <v>90.2</v>
    <v>19.251100000000001</v>
    <v>90.23</v>
    <v>89.15</v>
    <v>89.15</v>
    <v>41985580</v>
    <v>OTTR</v>
    <v>Otter Tail Corporation (XNAS:OTTR)</v>
    <v>178054</v>
    <v>239817</v>
    <v>2009</v>
  </rv>
  <rv s="1">
    <v>145</v>
  </rv>
  <rv s="2">
    <v>https://www.bing.com/financeapi/forcetrigger?t=bwau77&amp;q=XNAS%3aARRY&amp;form=skydnc</v>
    <v>Learn more on Bing</v>
  </rv>
  <rv s="3">
    <v>5</v>
    <v>ARRAY TECHNOLOGIES, INC. (XNAS:ARRY)</v>
    <v>6</v>
    <v>3</v>
    <v>Finance</v>
    <v>4</v>
    <v>en-US</v>
    <v>bwau77</v>
    <v>268435456</v>
    <v>1</v>
    <v>Powered by Refinitiv</v>
    <v>12.23</v>
    <v>3.8250000000000002</v>
    <v>1.8024</v>
    <v>-0.1</v>
    <v>-2.5253000000000001E-2</v>
    <v>0.03</v>
    <v>7.7720000000000003E-3</v>
    <v>USD</v>
    <v>Array Technologies, Inc. is a provider of solar tracking technology to utility-scale and distributed generation customers, who construct, develop and operate solar photovoltaic (PV) sites. The Company's segments include Array Legacy Operations and STI Legacy Operations. Its products are a portfolio of integrated solar tracking systems comprised of software and hardware that include component parts such as steel tubing, steel supports, drivelines, center structures, electric motors, motor controller assemblies, bearing assemblies, gearboxes and electronic controllers, commonly referred to as a single-axis tracker. Its flagship tracker uses a patented design that allows one motor to drive multiple rows of solar panels. Its products and services include Tracker Systems; DuraTrack HZ v3; Array STI H250; Array OmniTrack, and SmarTrack Software. SmarTrack is a range of software and control-based products designed for utility-scale solar sites.</v>
    <v>1200</v>
    <v>Nasdaq Stock Market</v>
    <v>XNAS</v>
    <v>XNAS</v>
    <v>3901 Midway Place Ne, ALBUQUERQUE, NM, 87109 US</v>
    <v>3.99</v>
    <v>Renewable Energy</v>
    <v>Stock</v>
    <v>46288.995834131252</v>
    <v>147</v>
    <v>3.8250000000000002</v>
    <v>594469722</v>
    <v>ARRAY TECHNOLOGIES, INC.</v>
    <v>ARRAY TECHNOLOGIES, INC.</v>
    <v>3.96</v>
    <v>0</v>
    <v>3.96</v>
    <v>3.86</v>
    <v>3.89</v>
    <v>154007700</v>
    <v>ARRY</v>
    <v>ARRAY TECHNOLOGIES, INC. (XNAS:ARRY)</v>
    <v>5645578</v>
    <v>6262229</v>
    <v>2018</v>
  </rv>
  <rv s="1">
    <v>148</v>
  </rv>
  <rv s="2">
    <v>https://www.bing.com/financeapi/forcetrigger?t=a1yeyc&amp;q=XNYS%3aNEP&amp;form=skydnc</v>
    <v>Learn more on Bing</v>
  </rv>
  <rv s="9">
    <v>20</v>
    <v>XPLR INFRASTRUCTURE, LP (XNYS:XIFR)</v>
    <v>6</v>
    <v>21</v>
    <v>Finance</v>
    <v>4</v>
    <v>en-US</v>
    <v>a1yeyc</v>
    <v>268435456</v>
    <v>1</v>
    <v>Powered by Refinitiv</v>
    <v>13.25</v>
    <v>8.6750000000000007</v>
    <v>0.88929999999999998</v>
    <v>-0.15</v>
    <v>-1.3863E-2</v>
    <v>0</v>
    <v>0</v>
    <v>USD</v>
    <v>XPLR Infrastructure, LP is a limited partnership that, through its ownership in XPLR Infrastructure Operating Partners, LP (XPLR OpCo), has a partial ownership interest in clean energy infrastructure assets including wind, solar and battery storage projects. The Company is focused on creating value for its unitholders through disciplined capital allocation of the cash flows generated by its assets and is positioning itself to benefit from the expected long-term growth in the United States energy markets. The Company owns approximately 48.8% limited partner interest in XPLR OpCo and NextEra Energy Equity Partners, LP (NEE Equity) owns a noncontrolling 51.2% limited partner interest in XPLR OpCo.</v>
    <v>New York Stock Exchange</v>
    <v>XNYS</v>
    <v>XNYS</v>
    <v>700 UNIVERSE BOULEVARD, JUNO BEACH, FL, 33408 US</v>
    <v>10.78</v>
    <v>Electrical Utilities &amp; IPPs</v>
    <v>Stock</v>
    <v>46288.979248750002</v>
    <v>150</v>
    <v>10.61</v>
    <v>1005890776</v>
    <v>XPLR INFRASTRUCTURE, LP</v>
    <v>XPLR INFRASTRUCTURE, LP</v>
    <v>10.78</v>
    <v>15.6778</v>
    <v>10.82</v>
    <v>10.67</v>
    <v>10.67</v>
    <v>94272800</v>
    <v>XIFR</v>
    <v>XPLR INFRASTRUCTURE, LP (XNYS:XIFR)</v>
    <v>709923</v>
    <v>739886</v>
    <v>2014</v>
  </rv>
  <rv s="1">
    <v>151</v>
  </rv>
  <rv s="2">
    <v>https://www.bing.com/financeapi/forcetrigger?t=a2142w&amp;q=XNAS%3aPOWL&amp;form=skydnc</v>
    <v>Learn more on Bing</v>
  </rv>
  <rv s="3">
    <v>5</v>
    <v>POWELL INDUSTRIES, INC. (XNAS:POWL)</v>
    <v>6</v>
    <v>3</v>
    <v>Finance</v>
    <v>4</v>
    <v>en-US</v>
    <v>a2142w</v>
    <v>268435456</v>
    <v>1</v>
    <v>Powered by Refinitiv</v>
    <v>328</v>
    <v>92.296599999999998</v>
    <v>1.1698</v>
    <v>0.72</v>
    <v>3.7519999999999997E-3</v>
    <v>-0.62</v>
    <v>-3.2190000000000001E-3</v>
    <v>USD</v>
    <v>Powell Industries, Inc. develops, designs, manufactures and services custom-engineered equipment and systems that distribute, control and monitor the flow of electrical energy and provide protection to motors, transformers and other electrically powered equipment. The Company's principal products include integrated power control room substations (PCRs), custom-engineered modules, electrical houses (E-Houses), traditional and arc-resistant distribution switchgear and control gear, medium-voltage circuit breakers, monitoring and control communications systems, motor control centers, switches and bus duct systems. These products are designed for application voltages ranging from 480 volts to 38,000 volts. It serves oil and gas and petrochemical markets, the electric utility market, commercial and other industrial markets. It also provides products and services to the light rail traction power market and other markets that include universities and government entities.</v>
    <v>3143</v>
    <v>Nasdaq Stock Market</v>
    <v>XNAS</v>
    <v>XNAS</v>
    <v>8550 Mosley Road, HOUSTON, TX, 77075 US</v>
    <v>194.04</v>
    <v>Machinery, Equipment &amp; Components</v>
    <v>Stock</v>
    <v>46288.999480786719</v>
    <v>153</v>
    <v>190.23</v>
    <v>7017639707</v>
    <v>POWELL INDUSTRIES, INC.</v>
    <v>POWELL INDUSTRIES, INC.</v>
    <v>192.21</v>
    <v>36.886299999999999</v>
    <v>191.9</v>
    <v>192.62</v>
    <v>192</v>
    <v>36432560</v>
    <v>POWL</v>
    <v>POWELL INDUSTRIES, INC. (XNAS:POWL)</v>
    <v>345328</v>
    <v>554203</v>
    <v>2004</v>
  </rv>
  <rv s="1">
    <v>154</v>
  </rv>
  <rv s="2">
    <v>https://www.bing.com/financeapi/forcetrigger?t=aajg4c&amp;q=XWBO%3aORA&amp;form=skydnc</v>
    <v>Learn more on Bing</v>
  </rv>
  <rv s="10">
    <v>22</v>
    <v>Orange SA (XWBO:ORA)</v>
    <v>6</v>
    <v>23</v>
    <v>Finance</v>
    <v>24</v>
    <v>en-US</v>
    <v>aajg4c</v>
    <v>268435456</v>
    <v>1</v>
    <v>Powered by Refinitiv</v>
    <v>0.30669999999999997</v>
    <v>2.5000000000000001E-2</v>
    <v>1.6609999999999999E-3</v>
    <v>EUR</v>
    <v>Orange SA is a France-based multi-service telecommunications operator. The Company operates seven segments: France, Spain, Europe, Africa &amp; Middle East, Enterprise, International Carriers &amp; Shared Services, Orange Bank. France includes all fixed and mobile communication services to consumers and companies as well as services for carriers. Spain covers fixed line and mobile telephony and fiber. Europe (Poland, Belgium, Luxembourg, Romania, Slovakia, and Moldova) provides high-speed fixed and mobile broadband. Africa &amp; Middle East primarily operates in the mobile markets but also provides telephony and fixed Internet services. Enterprise provides digital transformation support. International Carriers &amp; Shared Services includes international carrier and the activities of OCS and Orange Studio in content, among others. Orange Bank provides mobile financial services. Orange SA is the parent company of the Orange group.</v>
    <v>116734</v>
    <v>Wiener Boerse</v>
    <v>XWBO</v>
    <v>XWBO</v>
    <v>111, quai du President Roosevelt, Cs 70222, Issy-Les-Moulineaux Cedex, ISSY-LES-MOULINEAUX, HAUTS-DE-SEINE, 92449 FR</v>
    <v>15.15</v>
    <v>Telecommunications Services</v>
    <v>Stock</v>
    <v>46286</v>
    <v>156</v>
    <v>14.984999999999999</v>
    <v>38291520000</v>
    <v>Orange SA</v>
    <v>Orange SA</v>
    <v>15.06</v>
    <v>9.4700000000000006</v>
    <v>15.055</v>
    <v>15.08</v>
    <v>2660057000</v>
    <v>ORA</v>
    <v>Orange SA (XWBO:ORA)</v>
    <v>591</v>
    <v>6053240</v>
    <v>1991</v>
  </rv>
  <rv s="1">
    <v>157</v>
  </rv>
  <rv s="11">
    <v>25</v>
    <v>Harbor Mult-Asst Ttl Ret (ARCX:MATR)</v>
    <v>17</v>
    <v>26</v>
    <v>Finance</v>
    <v>27</v>
    <v>en-US</v>
    <v>cauaf2</v>
    <v>268435456</v>
    <v>1</v>
    <v>Powered by Refinitiv</v>
    <v>28.369900000000001</v>
    <v>25.4</v>
    <v>-0.27550000000000002</v>
    <v>-9.7210000000000005E-3</v>
    <v>0</v>
    <v>0</v>
    <v>USD</v>
    <v>NYSE Arca</v>
    <v>ARCX</v>
    <v>8.0000000000000002E-3</v>
    <v>28.064699999999998</v>
    <v>ETF</v>
    <v>46288.840328529688</v>
    <v>28.05</v>
    <v>10516952.630000001</v>
    <v>Harbor Mult-Asst Ttl Ret</v>
    <v>28.05</v>
    <v>28.340199999999999</v>
    <v>28.064699999999998</v>
    <v>28.064699999999998</v>
    <v>MATR</v>
    <v>Harbor Mult-Asst Ttl Ret (ARCX:MATR)</v>
    <v>139</v>
    <v>763</v>
  </rv>
  <rv s="1">
    <v>159</v>
  </rv>
  <rv s="12">
    <v>12</v>
    <v>Industry</v>
    <v>0</v>
  </rv>
  <rv s="0">
    <v>0</v>
    <v>FORGENT POWER SOLUTIONS, INC. (XNYS:FPS)</v>
    <v>2</v>
    <v>3</v>
    <v>Finance</v>
    <v>4</v>
    <v>en-US</v>
    <v>cjji3m</v>
    <v>268435456</v>
    <v>1</v>
    <v>Powered by Refinitiv</v>
    <v>66</v>
    <v>25.95</v>
    <v>1.633</v>
    <v>1.36</v>
    <v>3.5306000000000004E-2</v>
    <v>1.2500000000000001E-2</v>
    <v>3.1339999999999997E-4</v>
    <v>USD</v>
    <v>Forgent Power Solutions, Inc. is a holding company. The Company will operate through Forgent Power Solutions LLC and its subsidiaries. It offers powertrain solutions, standard and custom products, and services. Its powertrain solutions include in-house engineering to manufacture critical components and deliver prefabricated solutions. Its standard and custom products include Medium Voltage/Low Voltage (MV/LV) transformers, LV/MV Switchboards &amp; Switchgear, Power Skids &amp; E-Houses, and Tap Off Boxes. Its services include comprehensive commissioning and repair services across transformers, switchgear, integrated power skids, and controls. Its LV/MV Switchboards &amp; Switchgear products include Switchboards, Switchgear, Panelboards, Automatic Transfer Switches, Generator Connection Cabinets, Power Distribution Units, and Remote Power Panels. Its LV/MV transformers include Dry Type Transformers and Liquid Filled Transformers.</v>
    <v>3000</v>
    <v>New York Stock Exchange</v>
    <v>XNYS</v>
    <v>XNYS</v>
    <v>11500 Dayton Parkway, DAYTON, MN, 55369 US</v>
    <v>39.93</v>
    <v>Machinery, Equipment &amp; Components</v>
    <v>Stock</v>
    <v>46288.99998700156</v>
    <v>37</v>
    <v>12140624532</v>
    <v>FORGENT POWER SOLUTIONS, INC.</v>
    <v>FORGENT POWER SOLUTIONS, INC.</v>
    <v>38</v>
    <v>122.9346</v>
    <v>38.520000000000003</v>
    <v>39.880000000000003</v>
    <v>39.892499999999998</v>
    <v>304428900</v>
    <v>FPS</v>
    <v>FORGENT POWER SOLUTIONS, INC. (XNYS:FPS)</v>
    <v>7949979</v>
    <v>8964151</v>
    <v>2025</v>
  </rv>
  <rv s="1">
    <v>162</v>
  </rv>
  <rv s="2">
    <v>https://www.bing.com/financeapi/forcetrigger?t=a1xjww&amp;q=XNAS%3aMGEE&amp;form=skydnc</v>
    <v>Learn more on Bing</v>
  </rv>
  <rv s="3">
    <v>5</v>
    <v>MGE ENERGY, INC. (XNAS:MGEE)</v>
    <v>6</v>
    <v>3</v>
    <v>Finance</v>
    <v>4</v>
    <v>en-US</v>
    <v>a1xjww</v>
    <v>268435456</v>
    <v>1</v>
    <v>Powered by Refinitiv</v>
    <v>87.94</v>
    <v>70.709999999999994</v>
    <v>0.67679999999999996</v>
    <v>-1.84</v>
    <v>-2.5308999999999998E-2</v>
    <v>0</v>
    <v>0</v>
    <v>USD</v>
    <v>MGE Energy, Inc. is a public utility holding company. The Company's segments include regulated electric utility operations; regulated gas utility operations; nonregulated energy operations, transmission investments, and all other. The regulated electric utility operations segment is engaged in generating, purchasing, and distributing electricity through Madison Gas and Electric Company (MGE). The regulated gas utility operations segment is engaged in purchasing and distributing natural gas through MGE. The nonregulated energy operations segment owns and leases electric generating capacity that assists MGE through MGE Energy's wholly owned subsidiaries MGE Power Elm Road and MGE Power West Campus. The transmission investments segment includes the investment in American Transmission Company LLC, which is engaged in the business of providing electric transmission services in Wisconsin, and ATC Holdco LLC, which facilitates out-of-state electric transmission development and investments.</v>
    <v>726</v>
    <v>Nasdaq Stock Market</v>
    <v>XNAS</v>
    <v>XNAS</v>
    <v>133 South Blair Street, Po Box 1231, MADISON, WI, 53701-1231 US</v>
    <v>72.7</v>
    <v>Electrical Utilities &amp; IPPs</v>
    <v>Stock</v>
    <v>46288.97917528906</v>
    <v>164</v>
    <v>70.709999999999994</v>
    <v>2677374948</v>
    <v>MGE ENERGY, INC.</v>
    <v>MGE ENERGY, INC.</v>
    <v>72.7</v>
    <v>17.872199999999999</v>
    <v>72.7</v>
    <v>70.86</v>
    <v>70.86</v>
    <v>37784010</v>
    <v>MGEE</v>
    <v>MGE ENERGY, INC. (XNAS:MGEE)</v>
    <v>163458</v>
    <v>161076</v>
    <v>2001</v>
  </rv>
  <rv s="1">
    <v>165</v>
  </rv>
  <rv s="2">
    <v>https://www.bing.com/financeapi/forcetrigger?t=a2sxr7&amp;q=OTCM%3aPSIX&amp;form=skydnc</v>
    <v>Learn more on Bing</v>
  </rv>
  <rv s="3">
    <v>5</v>
    <v>POWER SOLUTIONS INTERNATIONAL, INC. (XNAS:PSIX)</v>
    <v>6</v>
    <v>3</v>
    <v>Finance</v>
    <v>4</v>
    <v>en-US</v>
    <v>a2sxr7</v>
    <v>268435456</v>
    <v>1</v>
    <v>Powered by Refinitiv</v>
    <v>119.7</v>
    <v>25.280999999999999</v>
    <v>2.0363000000000002</v>
    <v>0.47</v>
    <v>1.0126999999999999E-2</v>
    <v>0.32</v>
    <v>6.8259999999999996E-3</v>
    <v>USD</v>
    <v>Power Solutions International, Inc. is a producer and distributor of a range of power systems, including alternative-fueled power systems for original equipment manufacturers of off-highway industrial equipment and large custom-engineered integrated electrical power generation systems. The Company's power system configurations range from a basic engine integrated with appropriate fuel system components to completely packaged power systems that include any combination of cooling systems, electronic systems, air intake systems, fuel systems, housings, power takeoff systems, exhaust systems, hydraulic systems, enclosures, brackets, hoses, tubes and other assembled componentry. The Company also designs and manufactures large, custom-engineered integrated electrical power generation systems for both standby and prime power applications. The Company purchases engines from third-party suppliers and produces internally designed engines, all of which are then integrated into its power systems.</v>
    <v>1000</v>
    <v>Nasdaq Stock Market</v>
    <v>XNAS</v>
    <v>XNAS</v>
    <v>201 Mittel Drive, WOOD DALE, IL, 60191 US</v>
    <v>47.1</v>
    <v>Machinery, Equipment &amp; Components</v>
    <v>Stock</v>
    <v>46288.998160196097</v>
    <v>167</v>
    <v>45.26</v>
    <v>1081308296</v>
    <v>POWER SOLUTIONS INTERNATIONAL, INC.</v>
    <v>POWER SOLUTIONS INTERNATIONAL, INC.</v>
    <v>46</v>
    <v>15.9374</v>
    <v>46.41</v>
    <v>46.88</v>
    <v>47.2</v>
    <v>23065450</v>
    <v>PSIX</v>
    <v>POWER SOLUTIONS INTERNATIONAL, INC. (XNAS:PSIX)</v>
    <v>359711</v>
    <v>366715</v>
    <v>2011</v>
  </rv>
  <rv s="1">
    <v>168</v>
  </rv>
  <rv s="2">
    <v>https://www.bing.com/financeapi/forcetrigger?t=a1zyw7&amp;q=XNAS%3aPLUG&amp;form=skydnc</v>
    <v>Learn more on Bing</v>
  </rv>
  <rv s="3">
    <v>5</v>
    <v>PLUG POWER INC. (XNAS:PLUG)</v>
    <v>6</v>
    <v>3</v>
    <v>Finance</v>
    <v>4</v>
    <v>en-US</v>
    <v>a1zyw7</v>
    <v>268435456</v>
    <v>1</v>
    <v>Powered by Refinitiv</v>
    <v>4.58</v>
    <v>1.7</v>
    <v>2.2797999999999998</v>
    <v>-7.0000000000000007E-2</v>
    <v>-3.3174999999999996E-2</v>
    <v>0.01</v>
    <v>4.9020000000000001E-3</v>
    <v>USD</v>
    <v>Plug Power Inc. is engaged in providing an end-to-end hydrogen ecosystem, from production, storage, and delivery to energy generation. The Company is focused on delivering hydrogen solutions. Its vertically integrated, end-to-end hydrogen solutions are designed to fit customer needs, including hydrogen production equipment and the delivery of hydrogen fuel, including fuel cells, proton exchange membrane (PEM) electrolyzers, hydrogen liquefiers, liquid hydrogen cryogenic solutions, and hydrogen production. Its product and service portfolio includes GenDrive, GenFuel, GenCare, GenKey, GenEco Electrolyzers, Liquefaction Systems, Cryogenic Equipment, GenSure, and Liquid Hydrogen. GenDrive is a hydrogen fueled PEM fuel cell system, providing power to material handling electric vehicles (EVs), including Class 1, 2, 3 and 6 electric forklifts, automated guided vehicles, and ground support equipment. GenFuel is a liquid hydrogen fueling, delivery, generation, storage, and dispensing system.</v>
    <v>2582</v>
    <v>Nasdaq Stock Market</v>
    <v>XNAS</v>
    <v>XNAS</v>
    <v>125 Vista Boulevard, SLINGERLANDS, NY, 12159 US</v>
    <v>2.12</v>
    <v>Renewable Energy</v>
    <v>Stock</v>
    <v>46288.999967928125</v>
    <v>170</v>
    <v>2.0299999999999998</v>
    <v>2850277800</v>
    <v>PLUG POWER INC.</v>
    <v>PLUG POWER INC.</v>
    <v>2.12</v>
    <v>0</v>
    <v>2.11</v>
    <v>2.04</v>
    <v>2.0499999999999998</v>
    <v>1397195000</v>
    <v>PLUG</v>
    <v>PLUG POWER INC. (XNAS:PLUG)</v>
    <v>41213897</v>
    <v>50482098</v>
    <v>1999</v>
  </rv>
  <rv s="1">
    <v>171</v>
  </rv>
  <rv s="2">
    <v>https://www.bing.com/financeapi/forcetrigger?t=a1x8kr&amp;q=XNAS%3aLYTS&amp;form=skydnc</v>
    <v>Learn more on Bing</v>
  </rv>
  <rv s="3">
    <v>5</v>
    <v>LSI INDUSTRIES INC. (XNAS:LYTS)</v>
    <v>6</v>
    <v>3</v>
    <v>Finance</v>
    <v>4</v>
    <v>en-US</v>
    <v>a1x8kr</v>
    <v>268435456</v>
    <v>1</v>
    <v>Powered by Refinitiv</v>
    <v>27.36</v>
    <v>17.204999999999998</v>
    <v>0.48630000000000001</v>
    <v>-0.32</v>
    <v>-1.5564E-2</v>
    <v>0</v>
    <v>0</v>
    <v>USD</v>
    <v>LSI Industries Inc. is a producer of non-residential lighting and retail display solutions. The Company operates through two segments: Lighting and Display Solutions. The Lighting Segment manufactures, markets, and sells outdoor and indoor lighting fixtures and control solutions in the vertical markets: refueling and convenience store, parking lot and garage, quick-service restaurant, retail, grocery and pharmacy, automotive dealership, sports court and field, and warehouse. It services these markets through multiple channels: project business sold through electrical distributors and agents and shipped directly to the customer; standard products sold to and stocked by distributors, and direct to end-use customers. The Display Solutions Segment also manufactures, sells and installs exterior and interior visual image and display elements, including printed graphics, structural graphics, digital signage, menu board systems, refrigerated displays, and custom display elements.</v>
    <v>3000</v>
    <v>Nasdaq Stock Market</v>
    <v>XNAS</v>
    <v>XNAS</v>
    <v>PO Box 42728, 10000 Alliance Rd, CINCINNATI, OH, 45242 US</v>
    <v>20.5899</v>
    <v>Homebuilding &amp; Construction Supplies</v>
    <v>Stock</v>
    <v>46288.979194548439</v>
    <v>173</v>
    <v>20.04</v>
    <v>754169521</v>
    <v>LSI INDUSTRIES INC.</v>
    <v>LSI INDUSTRIES INC.</v>
    <v>20.52</v>
    <v>30.025200000000002</v>
    <v>20.56</v>
    <v>20.239999999999998</v>
    <v>20.239999999999998</v>
    <v>37261340</v>
    <v>LYTS</v>
    <v>LSI INDUSTRIES INC. (XNAS:LYTS)</v>
    <v>256172</v>
    <v>517215</v>
    <v>1989</v>
  </rv>
  <rv s="1">
    <v>174</v>
  </rv>
  <rv s="2">
    <v>https://www.bing.com/financeapi/forcetrigger?t=a1zykr&amp;q=XNAS%3aPLPC&amp;form=skydnc</v>
    <v>Learn more on Bing</v>
  </rv>
  <rv s="3">
    <v>5</v>
    <v>PREFORMED LINE PRODUCTS COMPANY (XNAS:PLPC)</v>
    <v>6</v>
    <v>3</v>
    <v>Finance</v>
    <v>4</v>
    <v>en-US</v>
    <v>a1zykr</v>
    <v>268435456</v>
    <v>1</v>
    <v>Powered by Refinitiv</v>
    <v>504.69</v>
    <v>184.02</v>
    <v>0.90190000000000003</v>
    <v>2.08</v>
    <v>4.8920000000000005E-3</v>
    <v>-0.41</v>
    <v>-9.5960000000000001E-4</v>
    <v>USD</v>
    <v>Preformed Line Products Company is a designer and manufacturer of products and systems employed in the construction and maintenance of overhead, ground-mounted and underground networks for energy, telecommunication, cable, data communication and other similar industries. The Company provides formed wire solutions, connectors, fiber optic and copper splice closures, solar hardware mounting applications, and electric vehicle charging station foundations. Its products include energy products, communications products, and special industry products. The energy products are used for supporting, protecting, terminating, and splicing transmission and distribution lines as well as bolted, welded, and compressed connectors for substations. The communications products include rugged outside plant (OSP) closures to protect and support wireline and wireless networks. The special industry products include hardware assemblies, plastic products, and interior/exterior connectors, among others.</v>
    <v>3734</v>
    <v>Nasdaq Stock Market</v>
    <v>XNAS</v>
    <v>XNAS</v>
    <v>660 Beta Drive, MAYFIELD VILLAGE, OH, 44143 US</v>
    <v>428.56</v>
    <v>Machinery, Equipment &amp; Components</v>
    <v>Stock</v>
    <v>46288.997702557812</v>
    <v>176</v>
    <v>417.92869999999999</v>
    <v>2088843735</v>
    <v>PREFORMED LINE PRODUCTS COMPANY</v>
    <v>PREFORMED LINE PRODUCTS COMPANY</v>
    <v>425.2</v>
    <v>48.1708</v>
    <v>425.2</v>
    <v>427.28</v>
    <v>426.87</v>
    <v>4888700</v>
    <v>PLPC</v>
    <v>PREFORMED LINE PRODUCTS COMPANY (XNAS:PLPC)</v>
    <v>63123</v>
    <v>74085</v>
    <v>1947</v>
  </rv>
  <rv s="1">
    <v>177</v>
  </rv>
  <rv s="2">
    <v>https://www.bing.com/financeapi/forcetrigger?t=aaypbh&amp;q=XTSE%3aHPS.A&amp;form=skydnc</v>
    <v>Learn more on Bing</v>
  </rv>
  <rv s="3">
    <v>5</v>
    <v>Hammond Power Solutions Inc. (XTSE:HPS.A)</v>
    <v>6</v>
    <v>14</v>
    <v>Finance</v>
    <v>15</v>
    <v>en-US</v>
    <v>aaypbh</v>
    <v>268435456</v>
    <v>1</v>
    <v>Powered by Refinitiv</v>
    <v>365.12</v>
    <v>114.93</v>
    <v>1.0388999999999999</v>
    <v>-0.56999999999999995</v>
    <v>-2.0709999999999999E-3</v>
    <v>0</v>
    <v>0</v>
    <v>CAD</v>
    <v>Hammond Power Solutions Inc. is a manufacturer of dry-type transformers in North America. The Company engineers and manufactures a range of standard and custom transformers that are exported globally as electrical equipment and systems. Its product categories include control and automation products, low voltage distribution products, medium voltage distribution products, power quality products and filters and specialty products. Its control and automation products include control transformers, drive isolation transformers, and reactors. It supports solid industries such as oil and gas, mining, steel, waste and water treatment, commercial construction, data centers and wind power generation. It also offers integrated electrical solutions (IES), a business unit that focuses on delivering more complete, system-level solutions. The Company has manufacturing plants in Canada, the United States, Mexico and India and sells its products around the globe.</v>
    <v>2476</v>
    <v>Toronto Stock Exchange</v>
    <v>XTSE</v>
    <v>XTSE</v>
    <v>595 SouthgateDrive, GUELPH, ON, N1G 3W6 CA</v>
    <v>280</v>
    <v>Machinery, Equipment &amp; Components</v>
    <v>Stock</v>
    <v>46288.850208333337</v>
    <v>179</v>
    <v>270.10500000000002</v>
    <v>2506261118</v>
    <v>Hammond Power Solutions Inc.</v>
    <v>Hammond Power Solutions Inc.</v>
    <v>275.01</v>
    <v>53.1372</v>
    <v>275.18</v>
    <v>274.61</v>
    <v>274.61</v>
    <v>9126620</v>
    <v>HPS.A</v>
    <v>Hammond Power Solutions Inc. (XTSE:HPS.A)</v>
    <v>30738</v>
    <v>85450</v>
    <v>2000</v>
  </rv>
  <rv s="1">
    <v>180</v>
  </rv>
  <rv s="2">
    <v>https://www.bing.com/financeapi/forcetrigger?t=a1p15r&amp;q=XNYS%3aBW&amp;form=skydnc</v>
    <v>Learn more on Bing</v>
  </rv>
  <rv s="7">
    <v>12</v>
    <v>BABCOCK &amp; WILCOX ENTERPRISES, INC. (XNYS:BW)</v>
    <v>6</v>
    <v>13</v>
    <v>Finance</v>
    <v>4</v>
    <v>en-US</v>
    <v>a1p15r</v>
    <v>268435456</v>
    <v>1</v>
    <v>Powered by Refinitiv</v>
    <v>22.03</v>
    <v>2.64</v>
    <v>1.1469</v>
    <v>-0.7</v>
    <v>-9.5367999999999994E-2</v>
    <v>0.05</v>
    <v>7.5300000000000002E-3</v>
    <v>USD</v>
    <v>Babcock &amp; Wilcox Enterprises, Inc. is a provider of renewable, environmental and thermal technologies for industrial, electrical utility, municipal and other customers. The Company operates through three segments: Babcock &amp; Wilcox Renewable, Babcock &amp; Wilcox Environmental, and Babcock &amp; Wilcox Thermal. Its Babcock &amp; Wilcox Renewable segment offers technologies for environmentally sustainable power and heat generation, including waste-to-energy, oxygen-fired biomass-to-energy and black liquor systems for the pulp and paper industry. Its Babcock &amp; Wilcox Environmental segment provides emissions control and environmental technology solutions for utility, waste-to-energy, biomass-to-energy, carbon black, and industrial steam generation applications around the world. Its Babcock &amp; Wilcox Thermal segment provides steam generation equipment, aftermarket parts, construction, maintenance and field services for plants in the power generation, oil and gas, and industrial sectors.</v>
    <v>1600</v>
    <v>New York Stock Exchange</v>
    <v>XNYS</v>
    <v>XNYS</v>
    <v>1200 E. MARKET STREET, SUITE 650, AKRON, OH, 44305 US</v>
    <v>7.29</v>
    <v>Machinery, Equipment &amp; Components</v>
    <v>Stock</v>
    <v>46288.999423402347</v>
    <v>182</v>
    <v>6.61</v>
    <v>989128264</v>
    <v>BABCOCK &amp; WILCOX ENTERPRISES, INC.</v>
    <v>BABCOCK &amp; WILCOX ENTERPRISES, INC.</v>
    <v>7.21</v>
    <v>7.34</v>
    <v>6.64</v>
    <v>6.69</v>
    <v>148965100</v>
    <v>BW</v>
    <v>BABCOCK &amp; WILCOX ENTERPRISES, INC. (XNYS:BW)</v>
    <v>6149605</v>
    <v>4533064</v>
    <v>2015</v>
  </rv>
  <rv s="1">
    <v>183</v>
  </rv>
  <rv s="2">
    <v>https://www.bing.com/financeapi/forcetrigger?t=a1nfpr&amp;q=XNAS%3aAMOT&amp;form=skydnc</v>
    <v>Learn more on Bing</v>
  </rv>
  <rv s="3">
    <v>5</v>
    <v>Allient Inc. (XNAS:ALNT)</v>
    <v>6</v>
    <v>3</v>
    <v>Finance</v>
    <v>4</v>
    <v>en-US</v>
    <v>a1nfpr</v>
    <v>268435456</v>
    <v>1</v>
    <v>Powered by Refinitiv</v>
    <v>118.67</v>
    <v>41.75</v>
    <v>1.6032</v>
    <v>5.54</v>
    <v>5.1268000000000001E-2</v>
    <v>1.58</v>
    <v>1.3908E-2</v>
    <v>USD</v>
    <v>Allient Inc. is a global company that designs, manufactures and sells precision and specialty-controlled motion components and systems used in a broad range of industries. The Company’s products and solutions include nano-precision positioning systems, servo control systems, motion controllers, digital servo amplifiers and drives, brushless servo, torque, and coreless motors, brush motors, integrated motor-drives, gear motors, gearing, incremental and absolute optical encoders, active (electronic) and passive (magnetic) filters for power quality and harmonic issues, industrial safety rated input/output modules, universal industrial communications gateways, light-weighting technologies, and other controlled motion-related products. The Company sells component and integrated controlled motion solutions to end customers and original equipment manufacturers (OEMs) through its own direct sales force and authorized manufacturers’ representatives and distributors.</v>
    <v>2478</v>
    <v>Nasdaq Stock Market</v>
    <v>XNAS</v>
    <v>XNAS</v>
    <v>495 Commerce Drive, Suite 3, AMHERST, NY, 14228 US</v>
    <v>114.49</v>
    <v>Machinery, Equipment &amp; Components</v>
    <v>Stock</v>
    <v>46288.999705578128</v>
    <v>185</v>
    <v>105.03</v>
    <v>1931485136</v>
    <v>Allient Inc.</v>
    <v>Allient Inc.</v>
    <v>106.86</v>
    <v>66.862899999999996</v>
    <v>108.06</v>
    <v>113.6</v>
    <v>115.18</v>
    <v>17002510</v>
    <v>ALNT</v>
    <v>Allient Inc. (XNAS:ALNT)</v>
    <v>254442</v>
    <v>220768</v>
    <v>1962</v>
  </rv>
  <rv s="1">
    <v>186</v>
  </rv>
  <rv s="2">
    <v>https://www.bing.com/financeapi/forcetrigger?t=azlmhw&amp;q=XNYS%3aEAF&amp;form=skydnc</v>
    <v>Learn more on Bing</v>
  </rv>
  <rv s="7">
    <v>12</v>
    <v>GRAFTECH INTERNATIONAL LTD. (XNYS:EAF)</v>
    <v>6</v>
    <v>13</v>
    <v>Finance</v>
    <v>4</v>
    <v>en-US</v>
    <v>azlmhw</v>
    <v>268435456</v>
    <v>1</v>
    <v>Powered by Refinitiv</v>
    <v>20.32</v>
    <v>4.92</v>
    <v>1.8779999999999999</v>
    <v>0.15</v>
    <v>1.3381000000000001E-2</v>
    <v>0</v>
    <v>0</v>
    <v>USD</v>
    <v>GrafTech International Ltd. is a manufacturer of graphite electrode products essential to the production of electric arc furnace (EAF) steel and other ferrous and non-ferrous metals. Its portfolio consists of ultra-high power (UHP) graphite electrode manufacturing facilities. Its graphite electrode manufacturing facilities are located in Calais, France; Pamplona, Spain; Monterrey, Mexico and St. Marys, Pennsylvania. Its product categories include graphite electrodes and petroleum needle coke products. Graphite electrodes are an industrial consumable product used primarily in EAF steel production, one of the two primary methods of steel production and the steelmaking technology used by mini‑mills. Petroleum needle coke is a crystalline form of carbon derived from decant oil, which is the key raw material used in the production of graphite electrodes. Its production process converts decant oil, a byproduct of the gasoline refining process, into petroleum needle coke.</v>
    <v>1071</v>
    <v>New York Stock Exchange</v>
    <v>XNYS</v>
    <v>XNYS</v>
    <v>982 Keynote Circle, BROOKLYN HEIGHTS, OH, 44131 US</v>
    <v>11.89</v>
    <v>Machinery, Equipment &amp; Components</v>
    <v>Stock</v>
    <v>46288.979242615627</v>
    <v>188</v>
    <v>10.92</v>
    <v>296406937</v>
    <v>GRAFTECH INTERNATIONAL LTD.</v>
    <v>GRAFTECH INTERNATIONAL LTD.</v>
    <v>11.02</v>
    <v>11.21</v>
    <v>11.36</v>
    <v>11.36</v>
    <v>26092160</v>
    <v>EAF</v>
    <v>GRAFTECH INTERNATIONAL LTD. (XNYS:EAF)</v>
    <v>956387</v>
    <v>549984</v>
    <v>2010</v>
  </rv>
  <rv s="1">
    <v>189</v>
  </rv>
  <rv s="2">
    <v>https://www.bing.com/financeapi/forcetrigger?t=a1u19c&amp;q=XNYS%3aGNE&amp;form=skydnc</v>
    <v>Learn more on Bing</v>
  </rv>
  <rv s="3">
    <v>5</v>
    <v>GENIE ENERGY LTD. (XNYS:GNE)</v>
    <v>6</v>
    <v>3</v>
    <v>Finance</v>
    <v>4</v>
    <v>en-US</v>
    <v>a1u19c</v>
    <v>268435456</v>
    <v>1</v>
    <v>Powered by Refinitiv</v>
    <v>16.55</v>
    <v>12.69</v>
    <v>0.16</v>
    <v>-0.28000000000000003</v>
    <v>-1.737E-2</v>
    <v>0</v>
    <v>0</v>
    <v>USD</v>
    <v>Genie Energy Ltd. is a retail energy and renewable energy solutions provider. Its segments include Genie Retail Energy division (GRE) and Genie Renewables division (GREW). The GRE segment supplies electricity, including electricity from renewable resources, and natural gas to residential and small business customers in the United States. It owns and operates retail energy providers (REPs), including IDT Energy (IDT Energy), Residents Energy (Residents Energy), Town Square Energy and Town Square Energy East (TSE), Southern Federal Power, Mirabito Natural Gas and Evergreen Gas &amp; Electric. Its REP businesses resell electricity and natural gas to residential and small business customers in the Eastern and Midwestern United States and Texas. The GREW develops, constructs and operates utility-scale solar energy projects, distributes solar panels, offers energy procurement and advisory services and also markets alternative products and services complementary to its energy offerings.</v>
    <v>139</v>
    <v>New York Stock Exchange</v>
    <v>XNYS</v>
    <v>XNYS</v>
    <v>520 Broad Street, NEWARK, NJ, 07012 US</v>
    <v>16.02</v>
    <v>Electrical Utilities &amp; IPPs</v>
    <v>Stock</v>
    <v>46288.979246469535</v>
    <v>191</v>
    <v>15.79</v>
    <v>416902780</v>
    <v>GENIE ENERGY LTD.</v>
    <v>GENIE ENERGY LTD.</v>
    <v>16.02</v>
    <v>14.4552</v>
    <v>16.12</v>
    <v>15.84</v>
    <v>15.84</v>
    <v>26319620</v>
    <v>GNE</v>
    <v>GENIE ENERGY LTD. (XNYS:GNE)</v>
    <v>83863</v>
    <v>77265</v>
    <v>2011</v>
  </rv>
  <rv s="1">
    <v>192</v>
  </rv>
  <rv s="2">
    <v>https://www.bing.com/financeapi/forcetrigger?t=bxi4ar&amp;q=XNAS%3aSHLS&amp;form=skydnc</v>
    <v>Learn more on Bing</v>
  </rv>
  <rv s="3">
    <v>5</v>
    <v>SHOALS TECHNOLOGIES GROUP, INC. (XNAS:SHLS)</v>
    <v>6</v>
    <v>3</v>
    <v>Finance</v>
    <v>4</v>
    <v>en-US</v>
    <v>bxi4ar</v>
    <v>268435456</v>
    <v>1</v>
    <v>Powered by Refinitiv</v>
    <v>13.1799</v>
    <v>5.43</v>
    <v>1.8722000000000001</v>
    <v>-0.44</v>
    <v>-5.3987999999999994E-2</v>
    <v>0.13739999999999999</v>
    <v>1.7821E-2</v>
    <v>USD</v>
    <v>Shoals Technologies Group, Inc. is a design, engineering and manufacturer of advanced electrical infrastructure solutions for mission critical applications across solar photovoltaic (PV), battery energy storage solutions (BESS), and data center power systems for the global energy transition market. It also supports original equipment manufacturers (“OEMs”). It encompasses all the components that are necessary to carry the electric current produced by solar panels to an inverter and ultimately to the power grid. It designs, manufactures and sells various products used by the solar and battery storage industries, including big lead assembly (BLA) solutions; homeruns, interconnection and extension solutions; combiners and re-combiners; load break disconnects and transition solutions; wireless performance monitoring; and BESS. Its subsidiaries include Shoals Intermediate Parent, Inc., Shoals Technologies Group, LLC, Shoals International, LLC and others.</v>
    <v>1480</v>
    <v>Nasdaq Stock Market</v>
    <v>XNAS</v>
    <v>XNAS</v>
    <v>1500 Shoals Way, PORTLAND, TN, 37148 US</v>
    <v>8.15</v>
    <v>Machinery, Equipment &amp; Components</v>
    <v>Stock</v>
    <v>46288.987032476565</v>
    <v>194</v>
    <v>7.56</v>
    <v>1297593000</v>
    <v>SHOALS TECHNOLOGIES GROUP, INC.</v>
    <v>SHOALS TECHNOLOGIES GROUP, INC.</v>
    <v>8.15</v>
    <v>41.0762</v>
    <v>8.15</v>
    <v>7.71</v>
    <v>7.8474000000000004</v>
    <v>168300000</v>
    <v>SHLS</v>
    <v>SHOALS TECHNOLOGIES GROUP, INC. (XNAS:SHLS)</v>
    <v>4577551</v>
    <v>4848318</v>
    <v>2020</v>
  </rv>
  <rv s="1">
    <v>195</v>
  </rv>
  <rv s="2">
    <v>https://www.bing.com/financeapi/forcetrigger?t=a1usa2&amp;q=XNAS%3aHNRG&amp;form=skydnc</v>
    <v>Learn more on Bing</v>
  </rv>
  <rv s="3">
    <v>5</v>
    <v>Hallador Energy Company (XNAS:HNRG)</v>
    <v>6</v>
    <v>3</v>
    <v>Finance</v>
    <v>4</v>
    <v>en-US</v>
    <v>a1usa2</v>
    <v>268435456</v>
    <v>1</v>
    <v>Powered by Refinitiv</v>
    <v>24.7</v>
    <v>13.65</v>
    <v>0.41930000000000001</v>
    <v>-0.56000000000000005</v>
    <v>-3.7159999999999999E-2</v>
    <v>0.21</v>
    <v>1.4473E-2</v>
    <v>USD</v>
    <v>Hallador Energy Company is an energy company operating in the state of Indiana. The Company's segments include Coal Operations (operated by Sunrise Coal, LLC) and Electric Operations (operated by Hallador Power Company, LLC). The Coal Operations segment includes the operating mining complexes Oaktown 1 and 2 underground mines, Prosperity surface mine, Freelandville surface mine, and Carlisle wash plant. The Electric Operations segment includes the electric power generation facilities of the Merom Power Plant. The Oaktown Mining Complex is a coal mining and processing operation located in Knox and Sullivan counties, Indiana, and Crawford and Lawrence counties, Illinois. The Oaktown Mining Complex operations consist of two active underground mines, Oaktown Fuels No. 1 Mine and Oaktown Fuels No. 2 Mine, and related infrastructure. The Company holds other recoverable coal reserves in the Illinois Basin (ILB). Its subsidiaries include Sunrise Energy, LLC, Sycamore Coal, Inc., and others.</v>
    <v>633</v>
    <v>Nasdaq Stock Market</v>
    <v>XNAS</v>
    <v>XNAS</v>
    <v>1183 East Canvasback Drive, TERRE HAUTE, IN, 47802 US</v>
    <v>15</v>
    <v>Electrical Utilities &amp; IPPs</v>
    <v>Stock</v>
    <v>46288.988749096876</v>
    <v>197</v>
    <v>14.5</v>
    <v>684050153</v>
    <v>Hallador Energy Company</v>
    <v>Hallador Energy Company</v>
    <v>14.97</v>
    <v>700.96619999999996</v>
    <v>15.07</v>
    <v>14.51</v>
    <v>14.72</v>
    <v>47143360</v>
    <v>HNRG</v>
    <v>Hallador Energy Company (XNAS:HNRG)</v>
    <v>523706</v>
    <v>679951</v>
    <v>1985</v>
  </rv>
  <rv s="1">
    <v>198</v>
  </rv>
  <rv s="2">
    <v>https://www.bing.com/financeapi/forcetrigger?t=axn7mw&amp;q=OTCM%3aCMNR&amp;form=skydnc</v>
    <v>Learn more on Bing</v>
  </rv>
  <rv s="13">
    <v>28</v>
    <v>COMMERCE ENERGY GROUP, INC. (OTCM:CMNR)</v>
    <v>6</v>
    <v>29</v>
    <v>Finance</v>
    <v>24</v>
    <v>en-US</v>
    <v>axn7mw</v>
    <v>268435456</v>
    <v>1</v>
    <v>Powered by Refinitiv</v>
    <v>1E-4</v>
    <v>9.9999999999999995E-7</v>
    <v>0</v>
    <v>0</v>
    <v>USD</v>
    <v>Commerce Energy Group, Inc. provides electricity and natural gas supply to residential and commercial customers across North America. The Company is a subsidiary of Just Energy Group Inc. The Company primarly offers its services to customers in California, Delaware, Georgia, Maryland, New Jersey, Pennsylvania, Ohio and Illinois. The Company offers fixed and variable electricity and natural gas products to residential and commercial customers. The electricity and natural gas the Company sells is generally metered and delivered to its customers by the local utilities.</v>
    <v>200</v>
    <v>OTC Markets</v>
    <v>OTCM</v>
    <v>OTCM</v>
    <v>600 Anton Blvd Ste 2000, COSTA MESA, CA, 92626 US</v>
    <v>9.9999999999999995E-7</v>
    <v>Electrical Utilities &amp; IPPs</v>
    <v>Stock</v>
    <v>46245.820019872655</v>
    <v>200</v>
    <v>9.9999999999999995E-7</v>
    <v>30</v>
    <v>COMMERCE ENERGY GROUP, INC.</v>
    <v>COMMERCE ENERGY GROUP, INC.</v>
    <v>9.9999999999999995E-7</v>
    <v>0</v>
    <v>9.9999999999999995E-7</v>
    <v>9.9999999999999995E-7</v>
    <v>30762120</v>
    <v>CMNR</v>
    <v>COMMERCE ENERGY GROUP, INC. (OTCM:CMNR)</v>
    <v>1500</v>
    <v>2003</v>
  </rv>
  <rv s="1">
    <v>201</v>
  </rv>
  <rv s="2">
    <v>https://www.bing.com/financeapi/forcetrigger?t=briidm&amp;q=XNYS%3aCHPT&amp;form=skydnc</v>
    <v>Learn more on Bing</v>
  </rv>
  <rv s="7">
    <v>12</v>
    <v>CHARGEPOINT HOLDINGS, INC. (XNYS:CHPT)</v>
    <v>6</v>
    <v>13</v>
    <v>Finance</v>
    <v>4</v>
    <v>en-US</v>
    <v>briidm</v>
    <v>268435456</v>
    <v>1</v>
    <v>Powered by Refinitiv</v>
    <v>12.61</v>
    <v>4.4400000000000004</v>
    <v>1.8103</v>
    <v>-0.62</v>
    <v>-6.2944E-2</v>
    <v>0.02</v>
    <v>2.1670000000000001E-3</v>
    <v>USD</v>
    <v>ChargePoint Holdings, Inc. is a provider of electric vehicle (EV) charging technology solutions. The Company is driving the transition to electric mobility across North America and Europe. It offers a comprehensive portfolio of charging solutions. The ChargePoint cloud subscription platform and software-defined charging hardware are designed to include options for every charging scenario from home and multifamily to workplace, parking, hospitality, retail and transport fleets of all types. Its hardware, software, and services are designed to scale alongside the EV ecosystem, serving the needs of three core customer groups: Charge Point Operators (CPOs), e-Mobility Service Providers, and EV drivers. Its portfolio includes Networked Charging System Portfolio, Advanced ChargePoint Platform, ChargePoint CMS Service, ChargePoint eMSP Service, ChargePoint Mobile App and ChargePoint Services and Support Portfolio. It powers over 342,000 active charging ports.</v>
    <v>1440</v>
    <v>New York Stock Exchange</v>
    <v>XNYS</v>
    <v>XNYS</v>
    <v>240 East Hacienda Avenue, CAMPBELL, CA, 95008 US</v>
    <v>9.76</v>
    <v>Machinery, Equipment &amp; Components</v>
    <v>Stock</v>
    <v>46288.999289628904</v>
    <v>203</v>
    <v>9.02</v>
    <v>247828453</v>
    <v>CHARGEPOINT HOLDINGS, INC.</v>
    <v>CHARGEPOINT HOLDINGS, INC.</v>
    <v>9.76</v>
    <v>9.85</v>
    <v>9.23</v>
    <v>9.25</v>
    <v>26850320</v>
    <v>CHPT</v>
    <v>CHARGEPOINT HOLDINGS, INC. (XNYS:CHPT)</v>
    <v>1528751</v>
    <v>3426322</v>
    <v>2019</v>
  </rv>
  <rv s="1">
    <v>204</v>
  </rv>
  <rv s="2">
    <v>https://www.bing.com/financeapi/forcetrigger?t=a25c5r&amp;q=XNAS%3aVICR&amp;form=skydnc</v>
    <v>Learn more on Bing</v>
  </rv>
  <rv s="3">
    <v>5</v>
    <v>VICOR CORPORATION (XNAS:VICR)</v>
    <v>6</v>
    <v>3</v>
    <v>Finance</v>
    <v>4</v>
    <v>en-US</v>
    <v>a25c5r</v>
    <v>268435456</v>
    <v>1</v>
    <v>Powered by Refinitiv</v>
    <v>382.65</v>
    <v>47.56</v>
    <v>2.4506000000000001</v>
    <v>14.82</v>
    <v>5.5227999999999999E-2</v>
    <v>-0.36</v>
    <v>-1.271E-3</v>
    <v>USD</v>
    <v>Vicor Corporation designs, develops, manufactures, and markets modular power components and power systems for converting electrical power for use in electrically powered devices. It offers a range of alternating current (AC) and direct current (DC) power conversion products. It also offers products addressing other DC voltage standards. It categorizes its product portfolio as either Advanced Products or Brick Products. The Advanced Products category consists of its products, which are used to implement its proprietary Factorized Power Architecture (FPA), a power distribution architecture enabling flexible, rapid power system design using individual components optimized to perform a specific conversion function. Brick-format converters provide the integrated transformation, rectification, isolation, regulation, filtering, and/or input protection necessary to power and protect loads, across a range of conventional power architectures. It offers a range of brick-format DC-DC converters.</v>
    <v>1092</v>
    <v>Nasdaq Stock Market</v>
    <v>XNAS</v>
    <v>XNAS</v>
    <v>25 Frontage Rd, ANDOVER, MA, 01810-5424 US</v>
    <v>285.44</v>
    <v>Machinery, Equipment &amp; Components</v>
    <v>Stock</v>
    <v>46288.999813171096</v>
    <v>206</v>
    <v>261.94</v>
    <v>13055581666</v>
    <v>VICOR CORPORATION</v>
    <v>VICOR CORPORATION</v>
    <v>266.5</v>
    <v>90.893299999999996</v>
    <v>268.33999999999997</v>
    <v>283.16000000000003</v>
    <v>282.8</v>
    <v>46106730</v>
    <v>VICR</v>
    <v>VICOR CORPORATION (XNAS:VICR)</v>
    <v>1623102</v>
    <v>882391</v>
    <v>1981</v>
  </rv>
  <rv s="1">
    <v>207</v>
  </rv>
  <rv s="2">
    <v>https://www.bing.com/financeapi/forcetrigger?t=c1tsur&amp;q=XNYS%3aFACT&amp;form=skydnc</v>
    <v>Learn more on Bing</v>
  </rv>
  <rv s="3">
    <v>5</v>
    <v>SUNPOWER INC. (XNAS:SPWR)</v>
    <v>6</v>
    <v>3</v>
    <v>Finance</v>
    <v>4</v>
    <v>en-US</v>
    <v>c1tsur</v>
    <v>268435456</v>
    <v>1</v>
    <v>Powered by Refinitiv</v>
    <v>2.27</v>
    <v>0.2031</v>
    <v>0.71440000000000003</v>
    <v>-0.01</v>
    <v>-3.2258000000000002E-2</v>
    <v>2.8E-3</v>
    <v>9.333000000000001E-3</v>
    <v>USD</v>
    <v>SunPower Inc. is a residential solar services provider in North America. The Company’s digital platform and installation services support energy needs for customers who want to make the transition to an energy-efficient lifestyle. The Company's segment includes Residential Solar Installation, New Homes Business and Dealer. The Residential Solar Installation segment performs solar system, storage and battery installations for residential homeowners. The New Homes Business segment performs solar system installations for new home builders. The Dealer segment's principal activity is a solar energy sales force to initiate and execute contracts with customers throughout the United States.</v>
    <v>785</v>
    <v>Nasdaq Stock Market</v>
    <v>XNAS</v>
    <v>XNAS</v>
    <v>45700 Northport Loop East, FREMONT, CA, 84097 US</v>
    <v>0.31630000000000003</v>
    <v>Homebuilding &amp; Construction Supplies</v>
    <v>Stock</v>
    <v>46288.999844003905</v>
    <v>209</v>
    <v>0.3</v>
    <v>62639070</v>
    <v>SUNPOWER INC.</v>
    <v>SUNPOWER INC.</v>
    <v>0.31630000000000003</v>
    <v>0</v>
    <v>0.31</v>
    <v>0.3</v>
    <v>0.30280000000000001</v>
    <v>208796900</v>
    <v>SPWR</v>
    <v>SUNPOWER INC. (XNAS:SPWR)</v>
    <v>2575306</v>
    <v>16176383</v>
    <v>2023</v>
  </rv>
  <rv s="1">
    <v>210</v>
  </rv>
  <rv s="2">
    <v>https://www.bing.com/financeapi/forcetrigger?t=a1ngm7&amp;q=XNAS%3aAMSC&amp;form=skydnc</v>
    <v>Learn more on Bing</v>
  </rv>
  <rv s="3">
    <v>5</v>
    <v>AMERICAN SUPERCONDUCTOR CORPORATION (XNAS:AMSC)</v>
    <v>6</v>
    <v>3</v>
    <v>Finance</v>
    <v>4</v>
    <v>en-US</v>
    <v>a1ngm7</v>
    <v>268435456</v>
    <v>1</v>
    <v>Powered by Refinitiv</v>
    <v>70.485699999999994</v>
    <v>24.87</v>
    <v>3.3298000000000001</v>
    <v>-0.19</v>
    <v>-6.0819999999999997E-3</v>
    <v>7.0000000000000007E-2</v>
    <v>2.2539999999999999E-3</v>
    <v>USD</v>
    <v>American Superconductor Corporation is a provider of megawatt-scale power resiliency solutions. The Company's solutions include Gridtec, Marinetec and Windtec. The Company, through its Gridtec solutions, provides engineering planning services and advanced grid systems that optimize network reliability, efficiency and performance. The Company, through its Marinetec solutions, provides ship protection and is developing propulsion and power management solutions designed to help fleets increase system efficiencies, enhance power quality and boost operational safety. The Company, through its Windtec solutions, provides wind turbine electronic controls and systems, designs and engineering services. The Company's segments include Grid and Wind. Its products include Utility Voltage Solutions, Turbine Designs, Renewable Interconnectivity Solutions, Power Converters, Generators &amp; Drivetrains, Utility &amp; Industrial Resilience and Modernization Solutions, and Electric Control Systems.</v>
    <v>1195</v>
    <v>Nasdaq Stock Market</v>
    <v>XNAS</v>
    <v>XNAS</v>
    <v>114 East Main Street, AYER, MA, 01432 US</v>
    <v>32.1325</v>
    <v>Machinery, Equipment &amp; Components</v>
    <v>Stock</v>
    <v>46288.99939571719</v>
    <v>212</v>
    <v>30.78</v>
    <v>1504128447</v>
    <v>AMERICAN SUPERCONDUCTOR CORPORATION</v>
    <v>AMERICAN SUPERCONDUCTOR CORPORATION</v>
    <v>32.01</v>
    <v>10.3194</v>
    <v>31.24</v>
    <v>31.05</v>
    <v>31.12</v>
    <v>48442140</v>
    <v>AMSC</v>
    <v>AMERICAN SUPERCONDUCTOR CORPORATION (XNAS:AMSC)</v>
    <v>879312</v>
    <v>681642</v>
    <v>1987</v>
  </rv>
  <rv s="1">
    <v>213</v>
  </rv>
  <rv s="2">
    <v>https://www.bing.com/financeapi/forcetrigger?t=c1epp2&amp;q=XNYS%3aNRGV&amp;form=skydnc</v>
    <v>Learn more on Bing</v>
  </rv>
  <rv s="7">
    <v>12</v>
    <v>ENERGY VAULT HOLDINGS, INC. (XNYS:NRGV)</v>
    <v>6</v>
    <v>13</v>
    <v>Finance</v>
    <v>4</v>
    <v>en-US</v>
    <v>c1epp2</v>
    <v>268435456</v>
    <v>1</v>
    <v>Powered by Refinitiv</v>
    <v>6.6449999999999996</v>
    <v>2.5</v>
    <v>1.2693000000000001</v>
    <v>-0.34</v>
    <v>-7.1279000000000009E-2</v>
    <v>0.19</v>
    <v>4.2888999999999997E-2</v>
    <v>USD</v>
    <v>Energy Vault Holdings, Inc. develops, deploys and operates utility-scale energy storage solutions designed to transform the approach to sustainable energy storage. The Company's offerings include proprietary battery, gravity and green hydrogen energy storage technologies supporting a variety of customer use cases delivering energy system dispatching and optimization. Each storage solution is supported by its technology-agnostic energy management system software and integration platform. Its technology portfolio delivers customized short, long and multi-day/ultra-long duration energy storage solutions to help utilities, independent power producers and large industrial energy users. Its solutions include B-Vault, G-Vault, H-Vault and software solutions. Its software solutions include Vault-OS Energy Management System, Vault-Bidder, and Vault-Manager. Its projects include Calistoga Resiliency Center, Cross Trails Battery Energy Storage System (BESS), SOSA Energy Center, and McMurtre BESS.</v>
    <v>142</v>
    <v>New York Stock Exchange</v>
    <v>XNYS</v>
    <v>XNYS</v>
    <v>4165 East Thousand Oaks Blvd., Suite 100, WESTLAKE VILLAGE, CA, 91362 US</v>
    <v>4.6881000000000004</v>
    <v>Machinery, Equipment &amp; Components</v>
    <v>Stock</v>
    <v>46288.996735971872</v>
    <v>215</v>
    <v>4.41</v>
    <v>805549428</v>
    <v>ENERGY VAULT HOLDINGS, INC.</v>
    <v>ENERGY VAULT HOLDINGS, INC.</v>
    <v>4.6500000000000004</v>
    <v>4.7699999999999996</v>
    <v>4.43</v>
    <v>4.62</v>
    <v>181839600</v>
    <v>NRGV</v>
    <v>ENERGY VAULT HOLDINGS, INC. (XNYS:NRGV)</v>
    <v>3878524</v>
    <v>4016299</v>
    <v>2020</v>
  </rv>
  <rv s="1">
    <v>216</v>
  </rv>
  <rv s="2">
    <v>https://www.bing.com/financeapi/forcetrigger?t=aaynzr&amp;q=XTSE%3aHMM.A&amp;form=skydnc</v>
    <v>Learn more on Bing</v>
  </rv>
  <rv s="14">
    <v>30</v>
    <v>HAMMOND MANUFACTURING COMPANY LIMITED (XTSE:HMM.A)</v>
    <v>6</v>
    <v>31</v>
    <v>Finance</v>
    <v>32</v>
    <v>en-US</v>
    <v>aaynzr</v>
    <v>268435456</v>
    <v>1</v>
    <v>Powered by Refinitiv</v>
    <v>29.1</v>
    <v>9.09</v>
    <v>0.31259999999999999</v>
    <v>1.1000000000000001</v>
    <v>3.9567999999999999E-2</v>
    <v>CAD</v>
    <v>Hammond Manufacturing Company Limited manufactures a broad range of products for the electronic and electrical product industry, including metallic and non-metallic enclosures, racks, small cases, outlet strips, surge suppressors and electronic transformers. Its primary products include electrical and electronic enclosures, racks and cabinets, power bars, and electronic (low voltage) transformers. Its products are sold directly to original equipment manufacturers (OEM) and through a global network of distributors and agents. The Company’s products include Mild Steel Enclosures (Type 12, 4), Stainless Steel Enclosures (Type 4X), Aluminum Enclosures (Type 4X), Disconnect Enclosures, Modular Freestanding Enclosures, Operator Interface Enclosures, Wireway &amp; Trough, Commercial Enclosures, Rack Accessories, General Accessories, Low Voltage or High Voltage Tube plate, and others. It has offices in Canada, the United States, the United Kingdom, and Taiwan.</v>
    <v>1041</v>
    <v>Toronto Stock Exchange</v>
    <v>XTSE</v>
    <v>XTSE</v>
    <v>394 Edinburgh Rd N, GUELPH, ON, N1H 1E5 CA</v>
    <v>29.1</v>
    <v>Machinery, Equipment &amp; Components</v>
    <v>Stock</v>
    <v>46288.833101851851</v>
    <v>218</v>
    <v>27.71</v>
    <v>247268400</v>
    <v>HAMMOND MANUFACTURING COMPANY LIMITED</v>
    <v>HAMMOND MANUFACTURING COMPANY LIMITED</v>
    <v>27.99</v>
    <v>17.770399999999999</v>
    <v>27.8</v>
    <v>28.9</v>
    <v>8556000</v>
    <v>HMM.A</v>
    <v>HAMMOND MANUFACTURING COMPANY LIMITED (XTSE:HMM.A)</v>
    <v>49483</v>
    <v>18690</v>
    <v>1999</v>
  </rv>
  <rv s="1">
    <v>219</v>
  </rv>
  <rv s="2">
    <v>https://www.bing.com/financeapi/forcetrigger?t=a24vvh&amp;q=XNAS%3aULBI&amp;form=skydnc</v>
    <v>Learn more on Bing</v>
  </rv>
  <rv s="3">
    <v>5</v>
    <v>ULTRALIFE CORPORATION (XNAS:ULBI)</v>
    <v>6</v>
    <v>3</v>
    <v>Finance</v>
    <v>4</v>
    <v>en-US</v>
    <v>a24vvh</v>
    <v>268435456</v>
    <v>1</v>
    <v>Powered by Refinitiv</v>
    <v>8.25</v>
    <v>4.9000000000000004</v>
    <v>0.78210000000000002</v>
    <v>0.2</v>
    <v>3.5088000000000001E-2</v>
    <v>0</v>
    <v>0</v>
    <v>USD</v>
    <v>Ultralife Corporation offers products and services ranging from power solutions to communications and electronics systems to customers across the globe in the government, defense and commercial sectors. Its segments include Battery &amp; Energy Products and Communications Systems. The Battery &amp; Energy Products segment includes Lithium 9-volt, cylindrical, thin cell and other non-rechargeable batteries, in addition to rechargeable batteries, uninterruptable power supplies, charging systems and accessories. The Communications Systems segment includes RF amplifiers, power supplies, cable and connector assemblies, amplified speakers, equipment mounts, case equipment, man-portable systems, integrated communication systems for fixed or vehicle applications and communications and electronics systems design. Its brands include Ultralife, Ultralife HiRate, Lithium Power, McDowell Research, AMTI, ABLE, ACCUTRONICS, ACCUPRO, ENTELLION, SWE Southwest Electronic Energy Group, SWE SEASAFE, among others.</v>
    <v>678</v>
    <v>Nasdaq Stock Market</v>
    <v>XNAS</v>
    <v>XNAS</v>
    <v>2000 Technology Pkwy, NEWARK, NY, 14513 US</v>
    <v>5.9099000000000004</v>
    <v>Machinery, Equipment &amp; Components</v>
    <v>Stock</v>
    <v>46288.979176758592</v>
    <v>221</v>
    <v>5.72</v>
    <v>98313293</v>
    <v>ULTRALIFE CORPORATION</v>
    <v>ULTRALIFE CORPORATION</v>
    <v>5.76</v>
    <v>0</v>
    <v>5.7</v>
    <v>5.9</v>
    <v>5.9</v>
    <v>16663270</v>
    <v>ULBI</v>
    <v>ULTRALIFE CORPORATION (XNAS:ULBI)</v>
    <v>54886</v>
    <v>37334</v>
    <v>1990</v>
  </rv>
  <rv s="1">
    <v>222</v>
  </rv>
  <rv s="15">
    <v>33</v>
    <v>EROCK, INC. (XNYS:EROC)</v>
    <v>2</v>
    <v>34</v>
    <v>Finance</v>
    <v>4</v>
    <v>en-US</v>
    <v>d8zaf2</v>
    <v>268435456</v>
    <v>1</v>
    <v>Powered by Refinitiv</v>
    <v>20.7</v>
    <v>8.8800000000000008</v>
    <v>0.24</v>
    <v>-0.31</v>
    <v>-2.4161999999999999E-2</v>
    <v>0.12</v>
    <v>9.5849999999999998E-3</v>
    <v>USD</v>
    <v>ERock, Inc. is a vertically integrated company that designs, deploys, operates and maintains multi-purpose distributed power systems, consisting of its proprietary natural gas generator and embedded software technology, for its customers. The Company's modular power systems can be rapidly deployed at a scale of more than 1 GW to meet its customers' full range of power needs, including bridge, backup and dispatchable power applications, and are supported by its operations and maintenance (O&amp;M) and asset management services. At the core of the Company's power systems is its RockBlock, a modular, distributed generator string that incorporates its proprietary natural gas engine and is assembled in-house. Complementing its generator technology is its Granite Software Ecosystem (Granite), a proprietary software that is embedded in its power systems. It primarily serves data centers, utilities and large commercial and industrial (C&amp;I) businesses across nine states of the United States.</v>
    <v>New York Stock Exchange</v>
    <v>XNYS</v>
    <v>XNYS</v>
    <v>1113 Vine St., Suite 101, HOUSTON, TX, 77002 US</v>
    <v>13.05</v>
    <v>Machinery, Equipment &amp; Components</v>
    <v>Stock</v>
    <v>46288.99981040469</v>
    <v>12.41</v>
    <v>2746889252</v>
    <v>EROCK, INC.</v>
    <v>EROCK, INC.</v>
    <v>12.815</v>
    <v>12.83</v>
    <v>12.52</v>
    <v>12.64</v>
    <v>219400100</v>
    <v>EROC</v>
    <v>EROCK, INC. (XNYS:EROC)</v>
    <v>1488389</v>
    <v>2692759</v>
    <v>2026</v>
  </rv>
  <rv s="1">
    <v>224</v>
  </rv>
  <rv s="2">
    <v>https://www.bing.com/financeapi/forcetrigger?t=bx48kr&amp;q=XNAS%3aMNTK&amp;form=skydnc</v>
    <v>Learn more on Bing</v>
  </rv>
  <rv s="3">
    <v>5</v>
    <v>MONTAUK RENEWABLES, INC. (XNAS:MNTK)</v>
    <v>6</v>
    <v>3</v>
    <v>Finance</v>
    <v>4</v>
    <v>en-US</v>
    <v>bx48kr</v>
    <v>268435456</v>
    <v>1</v>
    <v>Powered by Refinitiv</v>
    <v>2.73</v>
    <v>1.07</v>
    <v>0.73440000000000005</v>
    <v>-0.32500000000000001</v>
    <v>-0.125</v>
    <v>-5.0000000000000001E-3</v>
    <v>-2.1979999999999999E-3</v>
    <v>USD</v>
    <v>Montauk Renewables, Inc. is a renewable energy company specializing in the management, recovery and conversion of biogas into Renewable Natural Gas (RNG). The Company's segments include Renewable Natural Gas and Renewable Electricity Generation. The Company’s Renewable Natural Gas segment includes the production of RNG. The Renewable Electricity Generation segment includes generation of electricity at biogas-to-electricity plants. The Company captures methane, preventing it from being released into the atmosphere, and converts it into either RNG or electrical power for the electrical grid. The Company is engaged in the development, operation and management of landfill methane-fueled renewable energy projects. The Company has operations at approximately 13 operating projects located in California, Idaho, Ohio, Oklahoma, Pennsylvania, North Carolina, South Carolina, and Texas.</v>
    <v>189</v>
    <v>Nasdaq Stock Market</v>
    <v>XNAS</v>
    <v>XNAS</v>
    <v>5313 Campbells Run Road, Suite 200, PITTSBURGH, PA, 15205 US</v>
    <v>2.6</v>
    <v>Electrical Utilities &amp; IPPs</v>
    <v>Stock</v>
    <v>46288.982343471878</v>
    <v>226</v>
    <v>2.27</v>
    <v>323826002</v>
    <v>MONTAUK RENEWABLES, INC.</v>
    <v>MONTAUK RENEWABLES, INC.</v>
    <v>2.6</v>
    <v>46.982300000000002</v>
    <v>2.6</v>
    <v>2.2749999999999999</v>
    <v>2.27</v>
    <v>142341100</v>
    <v>MNTK</v>
    <v>MONTAUK RENEWABLES, INC. (XNAS:MNTK)</v>
    <v>531277</v>
    <v>343463</v>
    <v>2020</v>
  </rv>
  <rv s="1">
    <v>227</v>
  </rv>
  <rv s="2">
    <v>https://www.bing.com/financeapi/forcetrigger?t=a2xcvh&amp;q=OTCM%3aSUME&amp;form=skydnc</v>
    <v>Learn more on Bing</v>
  </rv>
  <rv s="16">
    <v>35</v>
    <v>SUMMER ENERGY HOLDINGS, INC. (OTCM:SUME)</v>
    <v>6</v>
    <v>36</v>
    <v>Finance</v>
    <v>24</v>
    <v>en-US</v>
    <v>a2xcvh</v>
    <v>268435456</v>
    <v>1</v>
    <v>Powered by Refinitiv</v>
    <v>0.36149999999999999</v>
    <v>2.6100000000000002E-2</v>
    <v>0</v>
    <v>0</v>
    <v>USD</v>
    <v>Summer Energy Holdings, Inc. is a provider of retail electricity to commercial and residential customers in designated target markets in Texas, Ohio, Illinois, and Pennsylvania, through its wholly owned subsidiaries, Summer Energy, LLC, and Summer Energy Midwest, LLC. The Company offers electricity to residential and all size commercial customers in the restructured retail energy market with pricing choices and customer friendly service. Summer LLC is a retail electric provider in the state of Texas under a license with the Public Utility Commission of Texas (PUCT). Summer Midwest provide billing, collections, back-office service, including supply and scheduling services, customer service and accounting services.</v>
    <v>90</v>
    <v>OTC Markets</v>
    <v>OTCM</v>
    <v>OTCM</v>
    <v>5847 San Felipe St Ste 3700, HOUSTON, TX, 77057-3423 US</v>
    <v>7.0599999999999996E-2</v>
    <v>Electrical Utilities &amp; IPPs</v>
    <v>Stock</v>
    <v>46280.727857383594</v>
    <v>229</v>
    <v>7.0599999999999996E-2</v>
    <v>2630462</v>
    <v>SUMMER ENERGY HOLDINGS, INC.</v>
    <v>SUMMER ENERGY HOLDINGS, INC.</v>
    <v>7.0599999999999996E-2</v>
    <v>0</v>
    <v>7.0599999999999996E-2</v>
    <v>7.0599999999999996E-2</v>
    <v>37258670</v>
    <v>SUME</v>
    <v>SUMMER ENERGY HOLDINGS, INC. (OTCM:SUME)</v>
    <v>115</v>
    <v>11350</v>
    <v>2005</v>
  </rv>
  <rv s="1">
    <v>230</v>
  </rv>
  <rv s="2">
    <v>https://www.bing.com/financeapi/forcetrigger?t=a1snz2&amp;q=XNAS%3aFCEL&amp;form=skydnc</v>
    <v>Learn more on Bing</v>
  </rv>
  <rv s="3">
    <v>5</v>
    <v>FUELCELL ENERGY, INC. (XNAS:FCEL)</v>
    <v>6</v>
    <v>3</v>
    <v>Finance</v>
    <v>4</v>
    <v>en-US</v>
    <v>a1snz2</v>
    <v>268435456</v>
    <v>1</v>
    <v>Powered by Refinitiv</v>
    <v>37.880000000000003</v>
    <v>5.71</v>
    <v>2.4582999999999999</v>
    <v>-0.68</v>
    <v>-3.8073999999999997E-2</v>
    <v>7.0000000000000007E-2</v>
    <v>4.0749999999999996E-3</v>
    <v>USD</v>
    <v>FuelCell Energy, Inc. is engaged in delivering distributed baseload energy platform solutions through its proprietary fuel cell technology. It develops commercial technologies that produce clean electricity, heat, clean hydrogen, and water. Its commercial product portfolio is based on its carbonate electrochemical platform. Its carbonate electrochemical platform supports power generation and combined heat and power applications using a variety of fuels, including a 50/50 blend of hydrogen and natural gas or biogas blends, biogas, renewable natural gas, and natural gas. It offers its products in different configurations for a range of power and chemical applications, including electricity, hydrogen, heat (including steam), water and carbon-di-oxide (CO2) upgradable to food and beverage grade and/or usable in cement or other industrial products, and to concentrate and separate CO2 from fossil-fueled industrial applications allowing the sequestration and/or utilization of the CO2.</v>
    <v>424</v>
    <v>Nasdaq Stock Market</v>
    <v>XNAS</v>
    <v>XNAS</v>
    <v>3 Great Pasture Road, DANBURY, CT, 06810 US</v>
    <v>17.850000000000001</v>
    <v>Renewable Energy</v>
    <v>Stock</v>
    <v>46288.996738633592</v>
    <v>232</v>
    <v>17.12</v>
    <v>1373613156</v>
    <v>FUELCELL ENERGY, INC.</v>
    <v>FUELCELL ENERGY, INC.</v>
    <v>17.59</v>
    <v>0</v>
    <v>17.86</v>
    <v>17.18</v>
    <v>17.25</v>
    <v>79954200</v>
    <v>FCEL</v>
    <v>FUELCELL ENERGY, INC. (XNAS:FCEL)</v>
    <v>3445625</v>
    <v>7566276</v>
    <v>1999</v>
  </rv>
  <rv s="1">
    <v>233</v>
  </rv>
  <rv s="2">
    <v>https://www.bing.com/financeapi/forcetrigger?t=a1p1bh&amp;q=XNAS%3aBWEN&amp;form=skydnc</v>
    <v>Learn more on Bing</v>
  </rv>
  <rv s="3">
    <v>5</v>
    <v>BROADWIND INC. (XNAS:BWEN)</v>
    <v>6</v>
    <v>3</v>
    <v>Finance</v>
    <v>4</v>
    <v>en-US</v>
    <v>a1p1bh</v>
    <v>268435456</v>
    <v>1</v>
    <v>Powered by Refinitiv</v>
    <v>5.7</v>
    <v>1.88</v>
    <v>1.7629999999999999</v>
    <v>-0.09</v>
    <v>-2.0407999999999999E-2</v>
    <v>0</v>
    <v>0</v>
    <v>USD</v>
    <v>Broadwind Inc. is a precision manufacturer of structures, equipment and components for clean tech and other specialized applications. The Company’s segments include Heavy Fabrications, Gearing, and Industrial Solutions. The Heavy Fabrications segment provides large, complex and precision fabrications to customers in a broad range of industrial markets. The Gearing segment provides gearing, gearboxes and precision machined components to a set of customers in diverse markets, including surface and underground mining, wind energy, steel, material handling, infrastructure, onshore and offshore oil and gas fracking and drilling, marine, defense, and other industrial markets. It also provides gearbox repair services. Industrial Solutions provides supply chain solutions, light fabrication, inventory management, kitting, and assembly services, primarily serving the combined cycle natural gas turbine market. It also provides packaging solutions and fabricates panels and sub-assemblies.</v>
    <v>341</v>
    <v>Nasdaq Stock Market</v>
    <v>XNAS</v>
    <v>XNAS</v>
    <v>3240 S Central Ave, CICERO, IL, 60804-3939 US</v>
    <v>4.3650000000000002</v>
    <v>Renewable Energy</v>
    <v>Stock</v>
    <v>46288.979172372659</v>
    <v>235</v>
    <v>4.2</v>
    <v>102199838</v>
    <v>BROADWIND INC.</v>
    <v>BROADWIND INC.</v>
    <v>4.3600000000000003</v>
    <v>18.501100000000001</v>
    <v>4.41</v>
    <v>4.32</v>
    <v>4.32</v>
    <v>23657370</v>
    <v>BWEN</v>
    <v>BROADWIND INC. (XNAS:BWEN)</v>
    <v>95272</v>
    <v>270017</v>
    <v>2008</v>
  </rv>
  <rv s="1">
    <v>236</v>
  </rv>
  <rv s="2">
    <v>https://www.bing.com/financeapi/forcetrigger?t=bwf9bh&amp;q=XNYS%3aSTEM&amp;form=skydnc</v>
    <v>Learn more on Bing</v>
  </rv>
  <rv s="7">
    <v>12</v>
    <v>STEM, INC. (XNYS:STEM)</v>
    <v>6</v>
    <v>13</v>
    <v>Finance</v>
    <v>4</v>
    <v>en-US</v>
    <v>bwf9bh</v>
    <v>268435456</v>
    <v>1</v>
    <v>Powered by Refinitiv</v>
    <v>32.229999999999997</v>
    <v>3.8</v>
    <v>1.5649</v>
    <v>-0.21</v>
    <v>-5.2108999999999996E-2</v>
    <v>0.20039999999999999</v>
    <v>5.2461000000000001E-2</v>
    <v>USD</v>
    <v>Stem, Inc. provides artificial intelligence (AI)-driven software and services that enable its customers to plan, deploy, and operate clean energy assets. It offers a suite of solutions that are designed to transform how solar and energy storage projects are developed, built, and operated, including an integrated suite of software and edge hardware products, and full-lifecycle energy services. Its software applications are enabled by its AI platform, PowerTrack Optimizer. Its software applications include PowerTrack APM, PowerCore EMS and PowerBidder Pro. Its asset performance management (APM) application, PowerTrack APM, provides a unified solution that enables asset owners and operators to efficiently monitor and control complex storage, solar, and hybrid portfolios. Its energy management system (EMS) application, PowerCore EMS, is a technology-agnostic, edge-to-cloud integration solution for monitoring, managing, and controlling energy storage and hybrid systems.</v>
    <v>423</v>
    <v>New York Stock Exchange</v>
    <v>XNYS</v>
    <v>XNYS</v>
    <v>1400 Post Oak Boulevard, Suite 560, HOUSTON, TX, 77056 US</v>
    <v>4.0487000000000002</v>
    <v>Renewable Energy</v>
    <v>Stock</v>
    <v>46288.985479536721</v>
    <v>238</v>
    <v>3.8</v>
    <v>36774146</v>
    <v>STEM, INC.</v>
    <v>STEM, INC.</v>
    <v>4</v>
    <v>4.03</v>
    <v>3.82</v>
    <v>4.0204000000000004</v>
    <v>9626740</v>
    <v>STEM</v>
    <v>STEM, INC. (XNYS:STEM)</v>
    <v>256855</v>
    <v>108883</v>
    <v>2018</v>
  </rv>
  <rv s="1">
    <v>239</v>
  </rv>
  <rv s="2">
    <v>https://www.bing.com/financeapi/forcetrigger?t=buqzxm&amp;q=XNAS%3aEOSE&amp;form=skydnc</v>
    <v>Learn more on Bing</v>
  </rv>
  <rv s="3">
    <v>5</v>
    <v>EOS ENERGY ENTERPRISES, INC. (XNAS:EOSE)</v>
    <v>6</v>
    <v>3</v>
    <v>Finance</v>
    <v>4</v>
    <v>en-US</v>
    <v>buqzxm</v>
    <v>268435456</v>
    <v>1</v>
    <v>Powered by Refinitiv</v>
    <v>19.86</v>
    <v>3.01</v>
    <v>2.8753000000000002</v>
    <v>-0.48</v>
    <v>-0.118227</v>
    <v>-0.02</v>
    <v>-5.587E-3</v>
    <v>USD</v>
    <v>Eos Energy Enterprises, Inc. designs, develops, manufactures, and markets zinc-based energy storage solutions for utility-scale, microgrid, and commercial and industrial applications. The Company has developed a range of intellectual property with multiple patents covering battery chemistry, mechanical product design, energy block configuration and a software operating system (Battery Management System or BMS). The BMS software uses proprietary Eos-developed algorithms and includes ambient and battery temperature sensors, as well as voltage and electric current sensors for the electrical strings and the system. It focuses on manufacturing and selling direct current (DC) battery energy storage systems. It also plans to develop an alternating current (AC) system. The Company offers an advanced Znyth technology battery energy storage system (BESS) designed to provide the operating flexibility to manage increased grid complexity. Its primary market is North America.</v>
    <v>787</v>
    <v>Nasdaq Stock Market</v>
    <v>XNAS</v>
    <v>XNAS</v>
    <v>3920 Park Avenue, EDISON, NJ, 08820 US</v>
    <v>3.99</v>
    <v>Machinery, Equipment &amp; Components</v>
    <v>Stock</v>
    <v>46288.999956874999</v>
    <v>241</v>
    <v>3.56</v>
    <v>1303720724</v>
    <v>EOS ENERGY ENTERPRISES, INC.</v>
    <v>EOS ENERGY ENTERPRISES, INC.</v>
    <v>3.99</v>
    <v>0</v>
    <v>4.0599999999999996</v>
    <v>3.58</v>
    <v>3.56</v>
    <v>364167800</v>
    <v>EOSE</v>
    <v>EOS ENERGY ENTERPRISES, INC. (XNAS:EOSE)</v>
    <v>31301285</v>
    <v>25898659</v>
    <v>2019</v>
  </rv>
  <rv s="1">
    <v>242</v>
  </rv>
  <rv s="2">
    <v>https://www.bing.com/financeapi/forcetrigger?t=brehmw&amp;q=XNYS%3aXL&amp;form=skydnc</v>
    <v>Learn more on Bing</v>
  </rv>
  <rv s="7">
    <v>12</v>
    <v>SPRUCE POWER HOLDING CORPORATION (XNYS:SPRU)</v>
    <v>6</v>
    <v>13</v>
    <v>Finance</v>
    <v>4</v>
    <v>en-US</v>
    <v>brehmw</v>
    <v>268435456</v>
    <v>1</v>
    <v>Powered by Refinitiv</v>
    <v>6.75</v>
    <v>1.47</v>
    <v>1.1953</v>
    <v>-0.09</v>
    <v>-4.4775999999999996E-2</v>
    <v>0.13</v>
    <v>6.7708000000000004E-2</v>
    <v>USD</v>
    <v>Spruce Power Holding Corporation is an owner and operator of distributed solar energy assets across the United States. The Company offers subscription-based services to approximately 85,000 home solar assets and customer contracts, making renewable energy more accessible to everyone. The Company is engaged in the ownership and maintenance of home solar energy systems for homeowners in the United States. The Company provides clean, solar energy typically at savings compared to traditional utility energy. Its business offers services which include asset management and operating and maintenance services, and are contracted to service approximately 60,000 systems owned by third parties. In addition to providing management services to its portfolio, it also provides portfolio management services through its Spruce Pro platform, which includes collections/asset recovery, account support services, financial asset management, homeowner support and servicing technology, and asset operations.</v>
    <v>159</v>
    <v>New York Stock Exchange</v>
    <v>XNYS</v>
    <v>XNYS</v>
    <v>2000 S COLORADO BLVD, SUITE 2-825, DENVER, CO, 80222 US</v>
    <v>1.98</v>
    <v>Electrical Utilities &amp; IPPs</v>
    <v>Stock</v>
    <v>46288.99800100625</v>
    <v>244</v>
    <v>1.86</v>
    <v>36964204</v>
    <v>SPRUCE POWER HOLDING CORPORATION</v>
    <v>SPRUCE POWER HOLDING CORPORATION</v>
    <v>1.97</v>
    <v>2.0099999999999998</v>
    <v>1.92</v>
    <v>2.0499999999999998</v>
    <v>19252190</v>
    <v>SPRU</v>
    <v>SPRUCE POWER HOLDING CORPORATION (XNYS:SPRU)</v>
    <v>175216</v>
    <v>160329</v>
    <v>2019</v>
  </rv>
  <rv s="1">
    <v>245</v>
  </rv>
  <rv s="17">
    <v>37</v>
    <v>CAPSTONE ENERGY+, INC. (XNAS:CEPL)</v>
    <v>2</v>
    <v>38</v>
    <v>Finance</v>
    <v>4</v>
    <v>en-US</v>
    <v>cfkyww</v>
    <v>268435456</v>
    <v>1</v>
    <v>Powered by Refinitiv</v>
    <v>14.2</v>
    <v>1.76</v>
    <v>-0.47</v>
    <v>-7.8992000000000007E-2</v>
    <v>-0.06</v>
    <v>-1.0949E-2</v>
    <v>USD</v>
    <v>Capstone Energy+, Inc., formerly Capstone Green Energy Holdings, Inc., has designed, developed, and delivered behind-the-meter, on-site energy solutions. The Company provides fuel-flexible power systems engineered for mission-critical operations. The Company offers a comprehensive lineup of clean-and-green microturbines that are scalable from 65 kilowatts (kW) to 1 megawatt (MW) as individual systems and can operate on a variety of fuels including natural gas, associated gas, LPG/propane, flare gas, landfill gas, renewable natural gas (RNG) and hydrogen fuel blends. Its solutions also support the circular economy by converting waste streams into usable fuel and capturing waste heat to produce thermal energy. It also offers flexible Energy as a Service solutions, including power purchase or energy service agreements (PPAs/ESAs), leasing, rentals, and embedded service contracts (ESCs). It serves industries including data centers, hospitals, agriculture, and industrial facilities.</v>
    <v>115</v>
    <v>Nasdaq Stock Market</v>
    <v>XNAS</v>
    <v>XNAS</v>
    <v>16640 Stagg Street, VAN NUYS, CA, 91406 US</v>
    <v>5.9595000000000002</v>
    <v>Machinery, Equipment &amp; Components</v>
    <v>Stock</v>
    <v>46288.982837325784</v>
    <v>5.41</v>
    <v>180537010</v>
    <v>CAPSTONE ENERGY+, INC.</v>
    <v>CAPSTONE ENERGY+, INC.</v>
    <v>5.95</v>
    <v>0</v>
    <v>5.95</v>
    <v>5.48</v>
    <v>5.42</v>
    <v>32944710</v>
    <v>CEPL</v>
    <v>CAPSTONE ENERGY+, INC. (XNAS:CEPL)</v>
    <v>447482</v>
    <v>516270</v>
    <v>2004</v>
  </rv>
  <rv s="1">
    <v>247</v>
  </rv>
  <rv s="2">
    <v>https://www.bing.com/financeapi/forcetrigger?t=c3a6pr&amp;q=XNAS%3aROCG&amp;form=skydnc</v>
    <v>Learn more on Bing</v>
  </rv>
  <rv s="3">
    <v>5</v>
    <v>TIGO ENERGY, INC. (XNAS:TYGO)</v>
    <v>6</v>
    <v>3</v>
    <v>Finance</v>
    <v>4</v>
    <v>en-US</v>
    <v>c3a6pr</v>
    <v>268435456</v>
    <v>1</v>
    <v>Powered by Refinitiv</v>
    <v>5.3265000000000002</v>
    <v>0.89</v>
    <v>1.2688999999999999</v>
    <v>-8.5099999999999995E-2</v>
    <v>-8.7272999999999989E-2</v>
    <v>7.3800000000000004E-2</v>
    <v>8.2920999999999995E-2</v>
    <v>USD</v>
    <v>Tigo Energy, Inc. is engaged in the development and manufacture of smart hardware and software solutions. The Company designs solar power conversion and storage products. It also develops and manufactures products such as inverters and battery storage systems for the residential solar-plus-storage market. The Company combines its Flex MLPE (Module Level Power Electronics) and solar optimizer technology with intelligent, cloud-based software capabilities for advanced energy monitoring and control. Its MLPE products enable real-time energy monitoring and provide code-required rapid shutdown at the module level. It provides additional products, such as RSS Transmitter, Tigo Access Point (TAP), and Cloud Connect Advanced (CCA). The Company also provides energy intelligence (EI) residential solution, and a Tigo EI monitoring demo. The Company serves various customers, such as equipment manufacturers, installation professionals, commercial businesses, and homeowners.</v>
    <v>138</v>
    <v>Nasdaq Stock Market</v>
    <v>XNAS</v>
    <v>XNAS</v>
    <v>983 University Avenue, Suite B, LOS GATOS, CA, 95032 US</v>
    <v>0.98340000000000005</v>
    <v>Semiconductors &amp; Semiconductor Equipment</v>
    <v>Stock</v>
    <v>46288.994246388283</v>
    <v>249</v>
    <v>0.89</v>
    <v>68328601</v>
    <v>TIGO ENERGY, INC.</v>
    <v>TIGO ENERGY, INC.</v>
    <v>0.96099999999999997</v>
    <v>6.5201000000000002</v>
    <v>0.97509999999999997</v>
    <v>0.89</v>
    <v>0.96379999999999999</v>
    <v>76773710</v>
    <v>TYGO</v>
    <v>TIGO ENERGY, INC. (XNAS:TYGO)</v>
    <v>1035966</v>
    <v>766781</v>
    <v>2019</v>
  </rv>
  <rv s="1">
    <v>250</v>
  </rv>
  <rv s="2">
    <v>https://www.bing.com/financeapi/forcetrigger?t=ayz4u2&amp;q=XNAS%3aBLNK&amp;form=skydnc</v>
    <v>Learn more on Bing</v>
  </rv>
  <rv s="3">
    <v>5</v>
    <v>BLINK CHARGING CO. (XNAS:BLNK)</v>
    <v>6</v>
    <v>3</v>
    <v>Finance</v>
    <v>4</v>
    <v>en-US</v>
    <v>ayz4u2</v>
    <v>268435456</v>
    <v>1</v>
    <v>Powered by Refinitiv</v>
    <v>2.6499000000000001</v>
    <v>0.45</v>
    <v>2.0884</v>
    <v>-2.1100000000000001E-2</v>
    <v>-3.5987999999999999E-2</v>
    <v>4.7999999999999996E-3</v>
    <v>8.4930000000000005E-3</v>
    <v>USD</v>
    <v>Blink Charging Co., through its wholly owned subsidiaries, is a manufacturer, owner, operator and provider of electric vehicle (EV) charging equipment and networked EV charging services. It offers residential and commercial EV charging equipment and services, enabling EV drivers to recharge at various location types. Its principal line of products and services is its nationwide Blink EV charging networks (the Blink Networks) and Blink EV charging equipment, also known as electric vehicle supply equipment (EVSE), and other EV-related services. The Blink Networks is a proprietary, cloud-based system that operates, maintains and manages Blink charging stations and handles the associated charging data, back-end operations and payment processing. The Blink Networks provide property owners, managers, parking companies, state and municipal entities, and other types of commercial customers with cloud-based services that enable the remote monitoring and management of EV charging stations.</v>
    <v>320</v>
    <v>Nasdaq Stock Market</v>
    <v>XNAS</v>
    <v>XNAS</v>
    <v>17301 Melford Blvd.,, BOWIE, MD, 20715 US</v>
    <v>0.59</v>
    <v>Electrical Utilities &amp; IPPs</v>
    <v>Stock</v>
    <v>46288.981590068754</v>
    <v>252</v>
    <v>0.56310000000000004</v>
    <v>81919353</v>
    <v>BLINK CHARGING CO.</v>
    <v>BLINK CHARGING CO.</v>
    <v>0.58199999999999996</v>
    <v>0</v>
    <v>0.58630000000000004</v>
    <v>0.56520000000000004</v>
    <v>0.56999999999999995</v>
    <v>144938700</v>
    <v>BLNK</v>
    <v>BLINK CHARGING CO. (XNAS:BLNK)</v>
    <v>534160</v>
    <v>1160470</v>
    <v>2006</v>
  </rv>
  <rv s="1">
    <v>253</v>
  </rv>
  <rv s="2">
    <v>https://www.bing.com/financeapi/forcetrigger?t=c1et7w&amp;q=XNAS%3aFTCI&amp;form=skydnc</v>
    <v>Learn more on Bing</v>
  </rv>
  <rv s="3">
    <v>5</v>
    <v>FTC SOLAR, INC. (XNAS:FTCI)</v>
    <v>6</v>
    <v>3</v>
    <v>Finance</v>
    <v>4</v>
    <v>en-US</v>
    <v>c1et7w</v>
    <v>268435456</v>
    <v>1</v>
    <v>Powered by Refinitiv</v>
    <v>12.75</v>
    <v>1.9850000000000001</v>
    <v>1.7619</v>
    <v>-0.08</v>
    <v>-3.0533999999999999E-2</v>
    <v>0.12</v>
    <v>4.7244000000000001E-2</v>
    <v>USD</v>
    <v>FTC Solar, Inc. is a global provider of solar tracker systems, technology, software, and engineering services. Its original two modules-in-portrait (2P) solar tracker system is marketed under the Voyager brand name (Voyager) and its one module-in-portrait (1P) solar tracker system is marketed under the Pioneer brand name (Pioneer). It also has a mounting solution to support the installation and use of U.S.-manufactured thin-film modules. Its primary software offerings include SUNPATH, which helps customers optimize solar tracking for increased energy production, and SUNOPS real-time operations management platform. It assists its U.S. and worldwide clients in site layout, structural design, pile testing and other needs across the solar project development and construction cycle. Its products and services provide tracker solutions for large utility-scale solar and distributed generation projects around the world. It has operations in Australia, China, India, South Africa and Spain.</v>
    <v>232</v>
    <v>Nasdaq Stock Market</v>
    <v>XNAS</v>
    <v>XNAS</v>
    <v>10900 Stonelake Blvd., Suite 100 Quarry Oaks Ii Building, AUSTIN, TX, 78759 US</v>
    <v>2.75</v>
    <v>Machinery, Equipment &amp; Components</v>
    <v>Stock</v>
    <v>46288.998549120312</v>
    <v>255</v>
    <v>2.5150000000000001</v>
    <v>41950386</v>
    <v>FTC SOLAR, INC.</v>
    <v>FTC SOLAR, INC.</v>
    <v>2.7</v>
    <v>0</v>
    <v>2.62</v>
    <v>2.54</v>
    <v>2.66</v>
    <v>16515900</v>
    <v>FTCI</v>
    <v>FTC SOLAR, INC. (XNAS:FTCI)</v>
    <v>300397</v>
    <v>366500</v>
    <v>2017</v>
  </rv>
  <rv s="1">
    <v>256</v>
  </rv>
  <rv s="2">
    <v>https://www.bing.com/financeapi/forcetrigger?t=a1oldm&amp;q=XNAS%3aBLDP&amp;form=skydnc</v>
    <v>Learn more on Bing</v>
  </rv>
  <rv s="3">
    <v>5</v>
    <v>BALLARD POWER SYSTEMS INC. (XNAS:BLDP)</v>
    <v>6</v>
    <v>39</v>
    <v>Finance</v>
    <v>4</v>
    <v>en-US</v>
    <v>a1oldm</v>
    <v>268435456</v>
    <v>1</v>
    <v>Powered by Refinitiv</v>
    <v>6.5698999999999996</v>
    <v>1.92</v>
    <v>1.8302</v>
    <v>-0.05</v>
    <v>-2.2321000000000001E-2</v>
    <v>0</v>
    <v>0</v>
    <v>USD</v>
    <v>Ballard Power Systems Inc. is zero-emission hydrogen energy solutions and an integrated energy-as-a-service (EaaS) provider. Together, with its wholly owned subsidiary, GeoPura Ltd., the Company delivers turnkey, vertically integrated hydrogen ecosystem solutions spanning hydrogen production, logistics, refueling, zero-emission fuel cell engines, and stationary hydrogen power units. The Company powers critical off-grid, stationary applications, including construction, events, film sets, healthcare, defense, temporary power infrastructure, and supplies fuel cell engines for heavy-duty mobility applications such as bus, rail, and marine. The Company with an EaaS model, combined with cutting-edge technology across the hydrogen value chain, Ballard decarbonizes mission-critical operations worldwide. Its products include FCmove, FCwave, FCgen, and HPU. The FCmove range of fuel cell modules offers a compact, fully integrated fuel cell engine solution with low total life cycle cost.</v>
    <v>492</v>
    <v>Nasdaq Stock Market</v>
    <v>XNAS</v>
    <v>XNAS</v>
    <v>9000 Glenlyon Parkway, BURNABY, BC, V5J 5J8 CA</v>
    <v>2.2549999999999999</v>
    <v>Renewable Energy</v>
    <v>Stock</v>
    <v>46288.98825884219</v>
    <v>258</v>
    <v>2.16</v>
    <v>1105936000</v>
    <v>BALLARD POWER SYSTEMS INC.</v>
    <v>BALLARD POWER SYSTEMS INC.</v>
    <v>2.2549999999999999</v>
    <v>0</v>
    <v>2.2400000000000002</v>
    <v>2.19</v>
    <v>2.19</v>
    <v>351090700</v>
    <v>BLDP</v>
    <v>BALLARD POWER SYSTEMS INC. (XNAS:BLDP)</v>
    <v>2381156</v>
    <v>2809237</v>
    <v>2016</v>
  </rv>
  <rv s="1">
    <v>259</v>
  </rv>
  <rv s="0">
    <v>0</v>
    <v>X-ENERGY, INC. (XNAS:XE)</v>
    <v>2</v>
    <v>3</v>
    <v>Finance</v>
    <v>4</v>
    <v>en-US</v>
    <v>d8kkvh</v>
    <v>268435456</v>
    <v>1</v>
    <v>Powered by Refinitiv</v>
    <v>37.1</v>
    <v>13.29</v>
    <v>6.5000000000000002E-2</v>
    <v>0.02</v>
    <v>1.222E-3</v>
    <v>0</v>
    <v>0</v>
    <v>USD</v>
    <v>X-Energy, Inc. is a designer of advanced nuclear reactor technology and manufacturer of advanced nuclear fuels. The Company’s flagship product, the Xe-100, an advanced small modular high-temperature gas-cooled reactor (HTGR), in development for nearly a decade. The Xe-100 reactor is designed to generate 80 megawatts of electric power or 200 megawatts of thermal output (heat), or a combination thereof. The Xe-100 has several technological attributes, such as advanced safety features, virtually no direct GHG emissions during generation, high thermal output, load-following capabilities and modularity, all of which allow it to more specifically meet a customer’s power and/or industrial heat needs. Its Xe-100 design directly translates into simplicity of project delivery through reduced supply chain complexity and labor intensity during construction, which lead to lower costs and faster deployment timelines when compared with conventional nuclear energy sources.</v>
    <v>916</v>
    <v>Nasdaq Stock Market</v>
    <v>XNAS</v>
    <v>XNAS</v>
    <v>530 Gaither Road, Suite 700, ROCKVILLE, MD, 20850 US</v>
    <v>16.4785</v>
    <v>Machinery, Equipment &amp; Components</v>
    <v>Stock</v>
    <v>46288.999185867971</v>
    <v>15.74</v>
    <v>6656276718</v>
    <v>X-ENERGY, INC.</v>
    <v>X-ENERGY, INC.</v>
    <v>16.170000000000002</v>
    <v>0</v>
    <v>16.36</v>
    <v>16.38</v>
    <v>16.38</v>
    <v>406366100</v>
    <v>XE</v>
    <v>X-ENERGY, INC. (XNAS:XE)</v>
    <v>6507248</v>
    <v>6762944</v>
    <v>2025</v>
  </rv>
  <rv s="1">
    <v>261</v>
  </rv>
  <rv s="2">
    <v>https://www.bing.com/financeapi/forcetrigger?t=a2ws7w&amp;q=XNAS%3aSKYX&amp;form=skydnc</v>
    <v>Learn more on Bing</v>
  </rv>
  <rv s="3">
    <v>5</v>
    <v>SKYX PLATFORMS CORP. (XNAS:SKYX)</v>
    <v>6</v>
    <v>3</v>
    <v>Finance</v>
    <v>4</v>
    <v>en-US</v>
    <v>a2ws7w</v>
    <v>268435456</v>
    <v>1</v>
    <v>Powered by Refinitiv</v>
    <v>3.29</v>
    <v>0.94620000000000004</v>
    <v>2.3155000000000001</v>
    <v>-0.04</v>
    <v>-3.125E-2</v>
    <v>0.03</v>
    <v>2.4194E-2</v>
    <v>USD</v>
    <v>SKYX Platforms Corp. is a platform technology company. The Company has a series of disruptive advanced-safe-smart platform technologies. The Company owns over 60 lighting and home decor Websites for both the retail and commercial segments. Its first- and second-generation technologies enable light fixtures, ceiling fans and other electrically wired products to be installed safely and plugged in to a ceiling’s electrical outlet box, and without the need to touch hazardous wires. Its products are designed to improve all around home and building safety and lifestyle. Its products include The Weight Bearing Power-Plug, Sky Universal Power-Plug &amp; Receptacle, SkyHome App, Sky Smart Gen-2 - Universal Power-Plug &amp; Receptacle, Sky - Smart Gen2 for Plug and Play Ceiling Fans, Sky - Smart Gen-2 for Plug and Play Lighting, and Sky - All-In-One Smart Sky Platform. The Weight Bearing Power-Plug acts as an installation device, designed for plug and play installation of weight-bearing electronics.</v>
    <v>73</v>
    <v>Nasdaq Stock Market</v>
    <v>XNAS</v>
    <v>XNAS</v>
    <v>2855 W. Mcnab Road, POMPANO BEACH, FL, 33069 US</v>
    <v>1.29</v>
    <v>Machinery, Equipment &amp; Components</v>
    <v>Stock</v>
    <v>46288.995247615625</v>
    <v>263</v>
    <v>1.23</v>
    <v>167934440</v>
    <v>SKYX PLATFORMS CORP.</v>
    <v>SKYX PLATFORMS CORP.</v>
    <v>1.27</v>
    <v>0</v>
    <v>1.28</v>
    <v>1.24</v>
    <v>1.27</v>
    <v>135431000</v>
    <v>SKYX</v>
    <v>SKYX PLATFORMS CORP. (XNAS:SKYX)</v>
    <v>410905</v>
    <v>968691</v>
    <v>2012</v>
  </rv>
  <rv s="1">
    <v>264</v>
  </rv>
  <rv s="2">
    <v>https://www.bing.com/financeapi/forcetrigger?t=bqycfr&amp;q=XNAS%3aSMXT&amp;form=skydnc</v>
    <v>Learn more on Bing</v>
  </rv>
  <rv s="18">
    <v>40</v>
    <v>SOLARMAX TECHNOLOGY, INC. (XNAS:SMXT)</v>
    <v>6</v>
    <v>38</v>
    <v>Finance</v>
    <v>4</v>
    <v>en-US</v>
    <v>bqycfr</v>
    <v>268435456</v>
    <v>1</v>
    <v>Powered by Refinitiv</v>
    <v>15.24</v>
    <v>1.82</v>
    <v>0.15</v>
    <v>6.5502000000000005E-2</v>
    <v>-7.0000000000000007E-2</v>
    <v>-2.8688999999999999E-2</v>
    <v>USD</v>
    <v>SolarMax Technology, Inc. is an integrated solar energy company. The Company is primarily engaged in selling and installing integrated photovoltaic systems for residential and commercial customers in the United States; providing exterior and interior light-emitting diodes (LED) lighting sales and retrofitting services for governmental and commercial applications; identifying and procuring solar farm system projects for resale to third party developers and related services in the People’s Republic of China. It also provides engineering, procuring and construction services; operating and maintaining solar farm projects in China; provides secured loans to purchasers of its photovoltaic systems and servicing installment sales; owning and funding renewable energy projects in the United States, and selling and installing backup battery systems for residential and commercial customers in the United States. The Company has two segments: the United States operations and the China operations.</v>
    <v>72</v>
    <v>Nasdaq Stock Market</v>
    <v>XNAS</v>
    <v>XNAS</v>
    <v>3080 12Th Street, RIVERSIDE, CA, 92507 US</v>
    <v>2.52</v>
    <v>Electrical Utilities &amp; IPPs</v>
    <v>Stock</v>
    <v>46288.982641481249</v>
    <v>266</v>
    <v>2.2799999999999998</v>
    <v>11570992</v>
    <v>SOLARMAX TECHNOLOGY, INC.</v>
    <v>SOLARMAX TECHNOLOGY, INC.</v>
    <v>2.44</v>
    <v>0</v>
    <v>2.29</v>
    <v>2.44</v>
    <v>2.37</v>
    <v>4742210</v>
    <v>SMXT</v>
    <v>SOLARMAX TECHNOLOGY, INC. (XNAS:SMXT)</v>
    <v>8728</v>
    <v>23972</v>
    <v>2008</v>
  </rv>
  <rv s="1">
    <v>267</v>
  </rv>
  <rv s="2">
    <v>https://www.bing.com/financeapi/forcetrigger?t=a1z3sm&amp;q=XNAS%3aOESX&amp;form=skydnc</v>
    <v>Learn more on Bing</v>
  </rv>
  <rv s="3">
    <v>5</v>
    <v>ORION ENERGY SYSTEMS, INC. (XNAS:OESX)</v>
    <v>6</v>
    <v>3</v>
    <v>Finance</v>
    <v>4</v>
    <v>en-US</v>
    <v>a1z3sm</v>
    <v>268435456</v>
    <v>1</v>
    <v>Powered by Refinitiv</v>
    <v>31</v>
    <v>7.84</v>
    <v>0.91139999999999999</v>
    <v>-0.62</v>
    <v>-2.1349999999999997E-2</v>
    <v>0</v>
    <v>0</v>
    <v>USD</v>
    <v>Orion Energy Systems, Inc. provides light emitting diode (LED) lighting systems, wireless Internet of Things (IoT) enabled control solutions, commercial and industrial electric vehicle (EV) charging infrastructure solutions and lighting and electrical maintenance services. Its lighting segment develops and sells lighting products and provides construction and engineering services for its commercial lighting and energy management systems. Its lighting segment provides engineering, design, lighting products and, in many cases, turnkey solutions for large national accounts, governments, municipalities, schools, and other customers. Its maintenance segment provides retailers, distributors and other businesses with maintenance, repair and replacement services for the lighting and related electrical components deployed in their facilities. Its EV segment offers electric vehicle charging expertise and provides EV turnkey installation solutions with ongoing support to all commercial verticals.</v>
    <v>174</v>
    <v>Nasdaq Stock Market</v>
    <v>XNAS</v>
    <v>XNAS</v>
    <v>2210 Woodland Dr, MANITOWOC, WI, 54220 US</v>
    <v>29.355</v>
    <v>Homebuilding &amp; Construction Supplies</v>
    <v>Stock</v>
    <v>46288.979178622656</v>
    <v>269</v>
    <v>28.225000000000001</v>
    <v>116217621</v>
    <v>ORION ENERGY SYSTEMS, INC.</v>
    <v>ORION ENERGY SYSTEMS, INC.</v>
    <v>28.84</v>
    <v>0</v>
    <v>29.04</v>
    <v>28.42</v>
    <v>28.42</v>
    <v>4089290</v>
    <v>OESX</v>
    <v>ORION ENERGY SYSTEMS, INC. (XNAS:OESX)</v>
    <v>41544</v>
    <v>96623</v>
    <v>1996</v>
  </rv>
  <rv s="1">
    <v>270</v>
  </rv>
  <rv s="2">
    <v>https://www.bing.com/financeapi/forcetrigger?t=a2vsim&amp;q=OTCM%3aSIRC&amp;form=skydnc</v>
    <v>Learn more on Bing</v>
  </rv>
  <rv s="19">
    <v>41</v>
    <v>SOLAR INTEGRATED ROOFING CORP. (OTCM:SIRC)</v>
    <v>6</v>
    <v>42</v>
    <v>Finance</v>
    <v>43</v>
    <v>en-US</v>
    <v>a2vsim</v>
    <v>268435456</v>
    <v>1</v>
    <v>Powered by Refinitiv</v>
    <v>1E-4</v>
    <v>9.9999999999999995E-7</v>
    <v>0</v>
    <v>0</v>
    <v>0</v>
    <v>USD</v>
    <v>Solar Integrated Roofing Corp. is an integrated, single-source solar power, roofing systems installation and EV charging company operating and specializing in commercial and residential properties throughout the United States. The Company’s segments include roofing construction, residential solar, commercial solar &amp; microgrids, battery back-up &amp; EV charging, and project financing. The Company's solutions include sales and installation of solar energy systems, battery backup and electric vehicle (EV) charging stations to roofing, HVAC and related electrical contracting workThe Company’s brands include Enerev Solar, Future Home Power, Montross Companies, SunPower by Milholland Electric, USA Solar Networks, SunUp Solar, PLEMCo, Balance, McKay Roofing Co and Secure Roofing &amp; Solar.</v>
    <v>144</v>
    <v>OTC Markets</v>
    <v>OTCM</v>
    <v>OTCM</v>
    <v>PO Box 500 121 West Merino Street, WY, 82730 US</v>
    <v>9.9999999999999995E-7</v>
    <v>Renewable Energy</v>
    <v>Stock</v>
    <v>46289.006944444445</v>
    <v>272</v>
    <v>9.9999999999999995E-7</v>
    <v>10975</v>
    <v>SOLAR INTEGRATED ROOFING CORP.</v>
    <v>SOLAR INTEGRATED ROOFING CORP.</v>
    <v>9.9999999999999995E-7</v>
    <v>1.048E-7</v>
    <v>9.9999999999999995E-7</v>
    <v>9.9999999999999995E-7</v>
    <v>9.9999999999999995E-7</v>
    <v>10975460000</v>
    <v>SIRC</v>
    <v>SOLAR INTEGRATED ROOFING CORP. (OTCM:SIRC)</v>
    <v>5219130</v>
    <v>24010</v>
    <v>2007</v>
  </rv>
  <rv s="1">
    <v>273</v>
  </rv>
  <rv s="2">
    <v>https://www.bing.com/financeapi/forcetrigger?t=aazku2&amp;q=XTSE%3aPIF&amp;form=skydnc</v>
    <v>Learn more on Bing</v>
  </rv>
  <rv s="3">
    <v>5</v>
    <v>POLARIS RENEWABLE ENERGY INC. (XTSE:PIF)</v>
    <v>6</v>
    <v>14</v>
    <v>Finance</v>
    <v>15</v>
    <v>en-US</v>
    <v>aazku2</v>
    <v>268435456</v>
    <v>1</v>
    <v>Powered by Refinitiv</v>
    <v>16.079999999999998</v>
    <v>11.55</v>
    <v>0.4521</v>
    <v>-0.08</v>
    <v>-5.718E-3</v>
    <v>0</v>
    <v>0</v>
    <v>CAD</v>
    <v>Polaris Renewable Energy Inc. is engaged in the acquisition, development, and operation of renewable energy projects in Latin America and the Caribbean. Its operations include a geothermal plant (82 MW), four run-of-river hydroelectric plants (39 MW), three solar (photovoltaic) projects in operation (35 MW) and an onshore wind park (26 MW). It operates a wind power plant called Punta Lima Wind Farm, with a capacity of 26.0 MW, located in the Municipality of Naguabo, Puerto Rico. The San Jacinto facility is a geothermal energy project with 82 MW capacity, owned and operated by the Company through its subsidiary, Polaris Energy Nicaragua S.A. The El Carmen facility and 8 de Agosto facility are two ROR hydroelectric projects with a capacity of 8 MW and 20 MW, respectively, which are owned and operated by the Company through its subsidiary Generacion Andina SAC. Its subsidiary, Emerald Solar Energy SRL, operates the Canoa I Solar Park located in the Barahona Province, Dominican Republic.</v>
    <v>215</v>
    <v>Toronto Stock Exchange</v>
    <v>XTSE</v>
    <v>XTSE</v>
    <v>7 St. Thomas St. Suite 606, TORONTO, ON, M5S 2B7 CA</v>
    <v>14</v>
    <v>Electrical Utilities &amp; IPPs</v>
    <v>Stock</v>
    <v>46288.833333333336</v>
    <v>275</v>
    <v>13.82</v>
    <v>290653483</v>
    <v>POLARIS RENEWABLE ENERGY INC.</v>
    <v>POLARIS RENEWABLE ENERGY INC.</v>
    <v>13.99</v>
    <v>51.396700000000003</v>
    <v>13.99</v>
    <v>13.91</v>
    <v>13.91</v>
    <v>20895290</v>
    <v>PIF</v>
    <v>POLARIS RENEWABLE ENERGY INC. (XTSE:PIF)</v>
    <v>11782</v>
    <v>19130</v>
    <v>2022</v>
  </rv>
  <rv s="1">
    <v>276</v>
  </rv>
  <rv s="20">
    <v>44</v>
    <v>AMPRIUS TECHNOLOGIES, INC. (XNYS:AMPX)</v>
    <v>2</v>
    <v>13</v>
    <v>Finance</v>
    <v>4</v>
    <v>en-US</v>
    <v>c7d5mw</v>
    <v>268435456</v>
    <v>1</v>
    <v>Powered by Refinitiv</v>
    <v>24.225000000000001</v>
    <v>7.71</v>
    <v>2.3433999999999999</v>
    <v>-0.25</v>
    <v>-2.5049999999999999E-2</v>
    <v>0.1</v>
    <v>1.0277000000000001E-2</v>
    <v>USD</v>
    <v>Amprius Technologies, Inc. develops, manufactures, and markets lithium-ion batteries for mobility applications, including the aviation, electric vehicle (EV) and light electric vehicle industries. Its batteries are primarily used for existing and emerging aviation applications, including unmanned aerial systems (UAS), such as drones and high-altitude pseudo satellites (HAPS). It offers high-performance silicon anode batteries under its silicon anode platform to supply the aviation, ground and marine vehicle industries. Its SiCore batteries are based on a proprietary silicon anode material system delivering high-energy-density silicon anode batteries. The silicon anode cell chemistry in our SiCore batteries is designed to offer high energy density, up to 450 Wh/kg, and a long cycle life, as long as 1,400 cycles. It is also engaged in developing an EV capable cell. Its proprietary SiMaxx silicon anode technologies solve the inherent limitations of silicon anodes in lithium-ion cells.</v>
    <v>97</v>
    <v>New York Stock Exchange</v>
    <v>XNYS</v>
    <v>XNYS</v>
    <v>1180 Page Avenue, FREMONT, CA, 94538 US</v>
    <v>10.164999999999999</v>
    <v>Machinery, Equipment &amp; Components</v>
    <v>Stock</v>
    <v>46288.999507789064</v>
    <v>9.6950000000000003</v>
    <v>1421364238</v>
    <v>AMPRIUS TECHNOLOGIES, INC.</v>
    <v>AMPRIUS TECHNOLOGIES, INC.</v>
    <v>9.93</v>
    <v>9.98</v>
    <v>9.73</v>
    <v>9.83</v>
    <v>146080600</v>
    <v>AMPX</v>
    <v>AMPRIUS TECHNOLOGIES, INC. (XNYS:AMPX)</v>
    <v>5335217</v>
    <v>4381702</v>
    <v>2022</v>
  </rv>
  <rv s="1">
    <v>278</v>
  </rv>
  <rv s="2">
    <v>https://www.bing.com/financeapi/forcetrigger?t=a1w2oc&amp;q=XNAS%3aPEGY&amp;form=skydnc</v>
    <v>Learn more on Bing</v>
  </rv>
  <rv s="3">
    <v>5</v>
    <v>SUNATION ENERGY, INC. (XNAS:SUNE)</v>
    <v>6</v>
    <v>3</v>
    <v>Finance</v>
    <v>4</v>
    <v>en-US</v>
    <v>a1w2oc</v>
    <v>268435456</v>
    <v>1</v>
    <v>Powered by Refinitiv</v>
    <v>9.4499999999999993</v>
    <v>0.67559999999999998</v>
    <v>2.5893999999999999</v>
    <v>0.1</v>
    <v>4.0486000000000001E-2</v>
    <v>-0.08</v>
    <v>-3.1127999999999999E-2</v>
    <v>USD</v>
    <v>SUNation Energy, Inc. is a provider of sustainable solar energy and backup power solutions for households, businesses, and municipalities. The Company is focused on growing local and regional solar, storage, and energy services companies nationwide. Its focus is to power the energy transition through grassroots growth of solar electricity paired with battery storage. Its portfolio of brands includes SUNation, Hawaii Energy Connection, and E-Gear, which provide homeowners and businesses of all sizes with an end-to-end product offering spanning solar, battery storage, and grid services. Its SUNation roofing is a full-service roofing division that offers homeowners in the Long Island area professional, personalized service that goes beyond installation to include roof maintenance, repairs, replacements, and more. SUNation Service is a division of SUNation Energy that provides a range of services, such as solar system maintenance, solar battery storage, and solar system upgrade.</v>
    <v>164</v>
    <v>Nasdaq Stock Market</v>
    <v>XNAS</v>
    <v>XNAS</v>
    <v>171 Remington Boulevard, RONKONKOMA, NY, 11779 US</v>
    <v>2.58</v>
    <v>Electrical Utilities &amp; IPPs</v>
    <v>Stock</v>
    <v>46288.995460185157</v>
    <v>280</v>
    <v>2.35</v>
    <v>16738692</v>
    <v>SUNATION ENERGY, INC.</v>
    <v>SUNATION ENERGY, INC.</v>
    <v>2.44</v>
    <v>0</v>
    <v>2.4700000000000002</v>
    <v>2.57</v>
    <v>2.4900000000000002</v>
    <v>6513110</v>
    <v>SUNE</v>
    <v>SUNATION ENERGY, INC. (XNAS:SUNE)</v>
    <v>166837</v>
    <v>6373479</v>
    <v>2024</v>
  </rv>
  <rv s="1">
    <v>281</v>
  </rv>
  <rv s="2">
    <v>https://www.bing.com/financeapi/forcetrigger?t=c4ht7w&amp;q=XNAS%3aESAC&amp;form=skydnc</v>
    <v>Learn more on Bing</v>
  </rv>
  <rv s="3">
    <v>5</v>
    <v>ZEO ENERGY CORP. (XNAS:ZEO)</v>
    <v>6</v>
    <v>3</v>
    <v>Finance</v>
    <v>4</v>
    <v>en-US</v>
    <v>c4ht7w</v>
    <v>268435456</v>
    <v>1</v>
    <v>Powered by Refinitiv</v>
    <v>2.06</v>
    <v>0.1865</v>
    <v>0.61299999999999999</v>
    <v>-9.3100000000000002E-2</v>
    <v>-0.190078</v>
    <v>-6.8999999999999999E-3</v>
    <v>-1.7393000000000002E-2</v>
    <v>USD</v>
    <v>Zeo Energy Corp. is a regional provider of residential solar, distributed energy, and energy efficiency solutions. The Company offers energy solutions and services that include the sale, design, procurement, installation, and maintenance of residential solar energy systems. It also offers other energy efficient-related equipment or services or roofing services. The Company's segments include Sunergy and Heliogen. The Sunergy segment includes design, procurement, installation, and servicing of residential solar photovoltaic systems and related roofing services. The Heliogen segment includes concentrated solar power and long-duration energy generation and storage technology solutions for commercial and industrial applications. It uses subcontractors to provide all its insulation services and to install some of the roofing services and energy-efficient equipment. It serves customers in Florida, Texas, Arkansas, Missouri, Ohio, Illinois and others.</v>
    <v>190</v>
    <v>Nasdaq Stock Market</v>
    <v>XNAS</v>
    <v>XNAS</v>
    <v>5956 Sherry Lane, Suite 1400, DALLAS, TX, 75225 US</v>
    <v>0.5806</v>
    <v>Renewable Energy</v>
    <v>Stock</v>
    <v>46288.999869872656</v>
    <v>283</v>
    <v>0.32100000000000001</v>
    <v>23319410</v>
    <v>ZEO ENERGY CORP.</v>
    <v>ZEO ENERGY CORP.</v>
    <v>0.502</v>
    <v>0</v>
    <v>0.48980000000000001</v>
    <v>0.3967</v>
    <v>0.38979999999999998</v>
    <v>58783490</v>
    <v>ZEO</v>
    <v>ZEO ENERGY CORP. (XNAS:ZEO)</v>
    <v>69924407</v>
    <v>24628755</v>
    <v>2024</v>
  </rv>
  <rv s="1">
    <v>284</v>
  </rv>
  <rv s="2">
    <v>https://www.bing.com/financeapi/forcetrigger?t=a288dm&amp;q=OTCM%3aAPTL&amp;form=skydnc</v>
    <v>Learn more on Bing</v>
  </rv>
  <rv s="21">
    <v>45</v>
    <v>ALASKA POWER &amp; TELEPHONE COMPANY (OTCM:APTL)</v>
    <v>6</v>
    <v>46</v>
    <v>Finance</v>
    <v>24</v>
    <v>en-US</v>
    <v>a288dm</v>
    <v>268435456</v>
    <v>1</v>
    <v>Powered by Refinitiv</v>
    <v>90</v>
    <v>55.05</v>
    <v>0.37680000000000002</v>
    <v>0</v>
    <v>0</v>
    <v>USD</v>
    <v>Alaska Power &amp; Telephone Company provides electric and telephone service to several communities in the state of Alaska. The Company’s segments include Electric and Telecommunications. Its Electric segment provides retail and wholesale electric service, including both hydroelectric and diesel generation facilities in rural portions of Alaska. The telecommunications segment provides advanced voice and data telecommunications service in rural areas of Alaska. It provides local telephone, network access and long-distance, and Internet access to end users and enterprise customers. The Company’s principal products and services include utility services. Its subsidiaries include Alaska Power Company, Alaska Telephone Company, AP&amp;T Long Distance, LLC., AP&amp;T Wireless, Inc., BBL Hydro, Inc, Goat Lake Hydro, Inc. and others.</v>
    <v>OTC Markets</v>
    <v>OTCM</v>
    <v>OTCM</v>
    <v>136 Misty Marie Lane, KETCHIKAN, AK, 99901 US</v>
    <v>84</v>
    <v>Electrical Utilities &amp; IPPs</v>
    <v>Stock</v>
    <v>46282.654515265625</v>
    <v>286</v>
    <v>84</v>
    <v>78054480</v>
    <v>ALASKA POWER &amp; TELEPHONE COMPANY</v>
    <v>ALASKA POWER &amp; TELEPHONE COMPANY</v>
    <v>84</v>
    <v>15.7568</v>
    <v>84</v>
    <v>84</v>
    <v>929220</v>
    <v>APTL</v>
    <v>ALASKA POWER &amp; TELEPHONE COMPANY (OTCM:APTL)</v>
    <v>200</v>
    <v>20</v>
    <v>1993</v>
  </rv>
  <rv s="1">
    <v>287</v>
  </rv>
  <rv s="2">
    <v>https://www.bing.com/financeapi/forcetrigger?t=a2f8u2&amp;q=OTCM%3aEFLVF&amp;form=skydnc</v>
    <v>Learn more on Bing</v>
  </rv>
  <rv s="3">
    <v>5</v>
    <v>Electrovaya Inc. (XNAS:ELVA)</v>
    <v>6</v>
    <v>39</v>
    <v>Finance</v>
    <v>4</v>
    <v>en-US</v>
    <v>a2f8u2</v>
    <v>268435456</v>
    <v>1</v>
    <v>Powered by Refinitiv</v>
    <v>12.78</v>
    <v>4.0999999999999996</v>
    <v>0.76870000000000005</v>
    <v>-0.28000000000000003</v>
    <v>-4.1604999999999996E-2</v>
    <v>5.1799999999999999E-2</v>
    <v>8.0309999999999999E-3</v>
    <v>USD</v>
    <v>Electrovaya Inc. is a Canada-based lithium-ion battery technology and manufacturing company. The Company designs, develops and manufactures proprietary lithium-ion batteries, battery systems, and battery-related products for energy storage, clean electric transportation, and other specialized applications. The Company is focused on contributing to the prevention of climate change by supplying safe and long-lasting lithium-ion batteries. Its technology includes infinity battery technology and solid-state battery technology. The Company’s product portfolio includes cell technology, infinity battery systems, low voltage, and high voltage. Its infinity battery system-high voltage applications include E-buses, E-trucks, Mining Vehicles, and Defense. The Company has two operating sites in Canada and a 52-acre site with a 135,000 square foot manufacturing facility in Jamestown, New York state for its planned gigafactory.</v>
    <v>123</v>
    <v>Nasdaq Stock Market</v>
    <v>XNAS</v>
    <v>XNAS</v>
    <v>6688 Kitimat Road, MISSISSAUGA, ON, L5N 1P8 CA</v>
    <v>6.71</v>
    <v>Machinery, Equipment &amp; Components</v>
    <v>Stock</v>
    <v>46288.979196284374</v>
    <v>289</v>
    <v>6.45</v>
    <v>468340800</v>
    <v>Electrovaya Inc.</v>
    <v>Electrovaya Inc.</v>
    <v>6.67</v>
    <v>74.223200000000006</v>
    <v>6.73</v>
    <v>6.45</v>
    <v>6.5018000000000002</v>
    <v>49507480</v>
    <v>ELVA</v>
    <v>Electrovaya Inc. (XNAS:ELVA)</v>
    <v>307546</v>
    <v>429146</v>
    <v>1996</v>
  </rv>
  <rv s="1">
    <v>290</v>
  </rv>
  <rv s="2">
    <v>https://www.bing.com/financeapi/forcetrigger?t=aazbar&amp;q=XTSE%3aMXG&amp;form=skydnc</v>
    <v>Learn more on Bing</v>
  </rv>
  <rv s="14">
    <v>30</v>
    <v>MAXIM POWER CORP. (XTSE:MXG)</v>
    <v>6</v>
    <v>31</v>
    <v>Finance</v>
    <v>32</v>
    <v>en-US</v>
    <v>aazbar</v>
    <v>268435456</v>
    <v>1</v>
    <v>Powered by Refinitiv</v>
    <v>4.82</v>
    <v>4</v>
    <v>0.62150000000000005</v>
    <v>0.03</v>
    <v>7.2290000000000002E-3</v>
    <v>CAD</v>
    <v>Maxim Power Corp. is a Canada-based independent power producer, which is focused entirely on power projects in Alberta. The Company is engaged in the acquisition, development, ownership and operation of power generation facilities and the resultant sale of generating capacity and electricity. The Company’s core asset is the 300-megawatt (MW) H.R. Milner Plant, M2, in Grande Cache, AB, which is a combined cycle gas-fired power plant. It also explores additional development options in Alberta, including its permitted gas-fired generation project and the permitting of its wind power generation project. The Combined Cycle Gas Turbine (CCGT) expansion of M2 captures waste heat that would otherwise exhaust into the atmosphere and converts it into low-carbon dispatchable electricity for the Alberta power grid. In total, it has about 600 MW of natural gas and wind development projects at various stages.</v>
    <v>51</v>
    <v>Toronto Stock Exchange</v>
    <v>XTSE</v>
    <v>XTSE</v>
    <v>715 - 5th Avenue South West Suite 1210, AB, T2P 2X6 CA</v>
    <v>4.18</v>
    <v>Electrical Utilities &amp; IPPs</v>
    <v>Stock</v>
    <v>46288.762071759258</v>
    <v>292</v>
    <v>4.1500000000000004</v>
    <v>265273458</v>
    <v>MAXIM POWER CORP.</v>
    <v>MAXIM POWER CORP.</v>
    <v>4.16</v>
    <v>27.368600000000001</v>
    <v>4.1500000000000004</v>
    <v>4.18</v>
    <v>63462550</v>
    <v>MXG</v>
    <v>MAXIM POWER CORP. (XTSE:MXG)</v>
    <v>7890</v>
    <v>7400</v>
    <v>1993</v>
  </rv>
  <rv s="1">
    <v>293</v>
  </rv>
  <rv s="2">
    <v>https://www.bing.com/financeapi/forcetrigger?t=c382fr&amp;q=XNAS%3aCNTQ&amp;form=skydnc</v>
    <v>Learn more on Bing</v>
  </rv>
  <rv s="3">
    <v>5</v>
    <v>DRAGONFLY ENERGY HOLDINGS CORP. (XNAS:DFLI)</v>
    <v>6</v>
    <v>3</v>
    <v>Finance</v>
    <v>4</v>
    <v>en-US</v>
    <v>c382fr</v>
    <v>268435456</v>
    <v>1</v>
    <v>Powered by Refinitiv</v>
    <v>26.1</v>
    <v>0.80030000000000001</v>
    <v>0.29599999999999999</v>
    <v>1.7399999999999999E-2</v>
    <v>1.9998000000000002E-2</v>
    <v>-2.7199999999999998E-2</v>
    <v>-3.0647999999999998E-2</v>
    <v>USD</v>
    <v>Dragonfly Energy Holdings Corp. is a lithium battery technology company spanning battery cell manufacturing, pack assembly and full-system integration. The Company develops and delivers energy storage solutions for mobile, off-grid, industrial and specialty applications. The Company is advancing domestic battery cell manufacturing through its patented dry electrode process and the development of next-generation battery technologies, including all solid-state battery cells. Its work combines advanced research and development with software-enabled intelligence to improve the performance and capabilities of energy storage systems. Its segments include DTC and OEM. The DTC segment pertains to Battle Born, LLC branded batteries which are sold directly to consumers. The OEM segment pertains to Dragonfly branded batteries which are sold to original equipment manufacturers. Its Dakota Lithium is a lithium iron phosphate battery brand with a presence across specialty battery markets.</v>
    <v>137</v>
    <v>Nasdaq Stock Market</v>
    <v>XNAS</v>
    <v>XNAS</v>
    <v>12915 Old Virginia Road, RENO, NV, 89521 US</v>
    <v>0.91990000000000005</v>
    <v>Machinery, Equipment &amp; Components</v>
    <v>Stock</v>
    <v>46288.979231435158</v>
    <v>295</v>
    <v>0.86499999999999999</v>
    <v>13293685</v>
    <v>DRAGONFLY ENERGY HOLDINGS CORP.</v>
    <v>DRAGONFLY ENERGY HOLDINGS CORP.</v>
    <v>0.87009999999999998</v>
    <v>0</v>
    <v>0.87009999999999998</v>
    <v>0.88749999999999996</v>
    <v>0.86029999999999995</v>
    <v>14978800</v>
    <v>DFLI</v>
    <v>DRAGONFLY ENERGY HOLDINGS CORP. (XNAS:DFLI)</v>
    <v>113452</v>
    <v>262789</v>
    <v>2023</v>
  </rv>
  <rv s="1">
    <v>296</v>
  </rv>
  <rv s="2">
    <v>https://www.bing.com/financeapi/forcetrigger?t=a2nd9c&amp;q=OTCM%3aLSCG&amp;form=skydnc</v>
    <v>Learn more on Bing</v>
  </rv>
  <rv s="16">
    <v>35</v>
    <v>LIGHTING SCIENCE GROUP CORPORATION (OTCM:LSCG)</v>
    <v>6</v>
    <v>36</v>
    <v>Finance</v>
    <v>24</v>
    <v>en-US</v>
    <v>a2nd9c</v>
    <v>268435456</v>
    <v>1</v>
    <v>Powered by Refinitiv</v>
    <v>1E-4</v>
    <v>9.9999999999999995E-7</v>
    <v>0</v>
    <v>0</v>
    <v>USD</v>
    <v>Lighting Science Group Corporation is a provider of light emitting diode (LED) lighting technology. The Company designs, develops, and markets illumination solutions that use LEDs as exclusive light source. The Company's product portfolio includes LED-based retrofit lamps (replacement bulbs) used in existing light fixtures as well as LED-based luminaires (light fixtures). LED retrofit lamps are designed to fit into existing light fixtures as replacements for traditional incandescent, compact fluorescent and halogen lamps. Its LED luminaires are used for street lighting and lighting in parking garages, outdoor areas, warehouses and manufacturing areas. Its lamps and luminaires are used for indoor and outdoor residential, commercial, industrial and public infrastructure lighting applications. Its biological lighting product line uses its patented technology to emit light at specific biological effects. It offers a line of retrofit lamps, integrated retrofit kits and luminaires.</v>
    <v>81</v>
    <v>OTC Markets</v>
    <v>OTCM</v>
    <v>OTCM</v>
    <v>1350 Division Road Suite 204, RI, 02893 US</v>
    <v>1E-4</v>
    <v>Homebuilding &amp; Construction Supplies</v>
    <v>Stock</v>
    <v>46280.006944444445</v>
    <v>298</v>
    <v>1E-4</v>
    <v>21778</v>
    <v>LIGHTING SCIENCE GROUP CORPORATION</v>
    <v>LIGHTING SCIENCE GROUP CORPORATION</v>
    <v>1E-4</v>
    <v>0</v>
    <v>1E-4</v>
    <v>1E-4</v>
    <v>217787000</v>
    <v>LSCG</v>
    <v>LIGHTING SCIENCE GROUP CORPORATION (OTCM:LSCG)</v>
    <v>4100</v>
    <v>410</v>
    <v>1988</v>
  </rv>
  <rv s="1">
    <v>299</v>
  </rv>
  <rv s="2">
    <v>https://www.bing.com/financeapi/forcetrigger?t=a2dsyc&amp;q=OTCM%3aCYBL&amp;form=skydnc</v>
    <v>Learn more on Bing</v>
  </rv>
  <rv s="3">
    <v>5</v>
    <v>CYBERLUX CORPORATION (OTCM:CYBL)</v>
    <v>6</v>
    <v>3</v>
    <v>Finance</v>
    <v>47</v>
    <v>en-US</v>
    <v>a2dsyc</v>
    <v>268435456</v>
    <v>1</v>
    <v>Powered by Refinitiv</v>
    <v>6.7999999999999996E-3</v>
    <v>8.0000000000000004E-4</v>
    <v>0.67600000000000005</v>
    <v>-1E-4</v>
    <v>-0.1</v>
    <v>0</v>
    <v>0</v>
    <v>USD</v>
    <v>Cyberlux Corporation is a defense industry technology solutions company. It is a provider of advanced technology solutions to the defense, aviation, and government sectors. The Company’s business units include Unmanned Aircraft Solutions (UAS), Datron Military Communications (DMC), and Special Activities (SA). Through its divisions, including DMC, the Company delivers mission-critical technologies that enhance security and operational capabilities. UAS include military-grade unmanned aircraft hardware and software; advanced guidance system and targeting platforms; enhanced intelligence, surveillance and reconnaissance (ISR) capability; infrared night vision and thermal sensor technology; eye-in-the-sky monitoring; LiDAR mapping and perception attainment, and advanced kinetic capabilities. The Company serves U.S. Government entities, international allies, and commercial customers with solutions in defense communications, lighting systems, and UAS technologies.</v>
    <v>8</v>
    <v>OTC Markets</v>
    <v>OTCM</v>
    <v>OTCM</v>
    <v>800 Park Offices Drive, Suite 3209,, Research Triangle Park, NC, 27709 US</v>
    <v>1E-3</v>
    <v>Aerospace &amp; Defense</v>
    <v>Stock</v>
    <v>46289.006944444445</v>
    <v>301</v>
    <v>8.0000000000000004E-4</v>
    <v>6692348</v>
    <v>CYBERLUX CORPORATION</v>
    <v>CYBERLUX CORPORATION</v>
    <v>8.9999999999999998E-4</v>
    <v>0</v>
    <v>1E-3</v>
    <v>8.9999999999999998E-4</v>
    <v>8.9999999999999998E-4</v>
    <v>7435943000</v>
    <v>CYBL</v>
    <v>CYBERLUX CORPORATION (OTCM:CYBL)</v>
    <v>37010607</v>
    <v>6521830</v>
    <v>2000</v>
  </rv>
  <rv s="1">
    <v>302</v>
  </rv>
  <rv s="2">
    <v>https://www.bing.com/financeapi/forcetrigger?t=a1s8yc&amp;q=XNYS%3aESP&amp;form=skydnc</v>
    <v>Learn more on Bing</v>
  </rv>
  <rv s="3">
    <v>5</v>
    <v>ESPEY MFG. &amp; ELECTRONICS CORP. (XNYS:ESP)</v>
    <v>6</v>
    <v>3</v>
    <v>Finance</v>
    <v>4</v>
    <v>en-US</v>
    <v>a1s8yc</v>
    <v>268435456</v>
    <v>1</v>
    <v>Powered by Refinitiv</v>
    <v>73.908600000000007</v>
    <v>35.585299999999997</v>
    <v>0.37359999999999999</v>
    <v>-1.46</v>
    <v>-2.2706E-2</v>
    <v>0</v>
    <v>0</v>
    <v>USD</v>
    <v>Espey Mfg. &amp; Electronics Corp. is a power electronics design and original equipment manufacturing (OEM) company. The Company is a manufacturer of power conversion, advanced magnetics and build to specifications provided by the customer build to print products for the rugged industrial and military marketplace. The Company's primary products are power supplies, power converters, filters, power transformers, magnetic components, power distribution equipment, uninterruptible power supply (UPS) systems, and antennas. The applications of these products include alternating current (AC) and direct current (DC) locomotives, shipboard power, shipboard radar, airborne power, ground-based radar, and ground mobile power. The Company's services include design and development to specification, build to specifications provided by the customer, design services, design studies, environmental testing services, metal fabrication, painting services, and development of automatic testing equipment.</v>
    <v>152</v>
    <v>New York Stock Exchange</v>
    <v>XNYS</v>
    <v>XNYS</v>
    <v>233 Ballston Ave, Cor. Congress &amp; Ballston Aves., SARATOGA SPRINGS, NY, 12866 US</v>
    <v>65</v>
    <v>Machinery, Equipment &amp; Components</v>
    <v>Stock</v>
    <v>46289.00000037031</v>
    <v>304</v>
    <v>59.43</v>
    <v>188263612</v>
    <v>ESPEY MFG. &amp; ELECTRONICS CORP.</v>
    <v>ESPEY MFG. &amp; ELECTRONICS CORP.</v>
    <v>65</v>
    <v>16.553000000000001</v>
    <v>64.3</v>
    <v>62.84</v>
    <v>62.84</v>
    <v>2995920</v>
    <v>ESP</v>
    <v>ESPEY MFG. &amp; ELECTRONICS CORP. (XNYS:ESP)</v>
    <v>86731</v>
    <v>26816</v>
    <v>1928</v>
  </rv>
  <rv s="1">
    <v>305</v>
  </rv>
  <rv s="2">
    <v>https://www.bing.com/financeapi/forcetrigger?t=a2guc7&amp;q=XNAS%3aFLUX&amp;form=skydnc</v>
    <v>Learn more on Bing</v>
  </rv>
  <rv s="3">
    <v>5</v>
    <v>FLUX POWER HOLDINGS, INC. (XNAS:FLUX)</v>
    <v>6</v>
    <v>3</v>
    <v>Finance</v>
    <v>4</v>
    <v>en-US</v>
    <v>a2guc7</v>
    <v>268435456</v>
    <v>1</v>
    <v>Powered by Refinitiv</v>
    <v>7.55</v>
    <v>0.47</v>
    <v>1.6339999999999999</v>
    <v>-3.2899999999999999E-2</v>
    <v>-6.1586999999999996E-2</v>
    <v>2.1700000000000001E-2</v>
    <v>4.3287000000000006E-2</v>
    <v>USD</v>
    <v>Flux Power Holdings, Inc. designs, manufactures, and sells lithium-ion energy storage solutions for electrification of a range of industrial and commercial sectors including material handling, airport ground support equipment (GSE), and stationary energy storage. The Company’s lithium-ion battery packs, including the proprietary battery management system (BMS) and telemetry, provide customer ownership, and an environmentally friendly alternative, in many instances, to traditional lead acid and propane-based solutions. Its battery technology is designed with the flexibility to meet the energy requirements of diverse industries and applications, such as material handling vehicles and ground support equipment. Its batteries are designed with modular components which facilitate design flexibility that is adaptable to various applications. It also offers energy management solutions, which include real-time fleet monitoring and a customizable dashboard and reporting.</v>
    <v>70</v>
    <v>Nasdaq Stock Market</v>
    <v>XNAS</v>
    <v>XNAS</v>
    <v>2685 S. Melrose Drive, VISTA, CA, 92081 US</v>
    <v>0.53610000000000002</v>
    <v>Machinery, Equipment &amp; Components</v>
    <v>Stock</v>
    <v>46288.97919153906</v>
    <v>307</v>
    <v>0.50049999999999994</v>
    <v>10838928</v>
    <v>FLUX POWER HOLDINGS, INC.</v>
    <v>FLUX POWER HOLDINGS, INC.</v>
    <v>0.53090000000000004</v>
    <v>0</v>
    <v>0.53420000000000001</v>
    <v>0.50129999999999997</v>
    <v>0.52300000000000002</v>
    <v>21621640</v>
    <v>FLUX</v>
    <v>FLUX POWER HOLDINGS, INC. (XNAS:FLUX)</v>
    <v>86649</v>
    <v>809170</v>
    <v>1998</v>
  </rv>
  <rv s="1">
    <v>308</v>
  </rv>
  <rv s="2">
    <v>https://www.bing.com/financeapi/forcetrigger?t=c6noh7&amp;q=XNAS%3aMCAC&amp;form=skydnc</v>
    <v>Learn more on Bing</v>
  </rv>
  <rv s="3">
    <v>5</v>
    <v>CONNECTM TECHNOLOGY SOLUTIONS, INC. (OTCM:CNTM)</v>
    <v>6</v>
    <v>3</v>
    <v>Finance</v>
    <v>47</v>
    <v>en-US</v>
    <v>c6noh7</v>
    <v>268435456</v>
    <v>1</v>
    <v>Powered by Refinitiv</v>
    <v>17.12</v>
    <v>4.03</v>
    <v>31.596</v>
    <v>0.21</v>
    <v>4.2084000000000003E-2</v>
    <v>0.01</v>
    <v>1.923E-3</v>
    <v>USD</v>
    <v>ConnectM Technology Solutions, Inc. is a technology-driven company. Its segments include Owned service, Managed solutions, Logistics, and Transportation. Owned service network segment consists of its owned service providers who serve as a single point solution provider for enterprises, infrastructure providers, homeowners, and light commercial building owners for their electrification and decarbonization needs. Managed solutions segment offers third-party residential and light commercial service providers with access to the technology platform as well as a selection of servicing offerings that the managed solutions customer can select from, including human resources management, procurement services, and omnichannel marketing. Logistics segment focuses on the facilitation of business-to-business transportation of heavy goods using its last mile delivery software. Transportation segment focuses on the sale of hardware, software and technical services to original equipment manufacturers.</v>
    <v>103</v>
    <v>OTC Markets</v>
    <v>OTCM</v>
    <v>OTCM</v>
    <v>2 Mount Royal Avenue, Suite 550, MARLBOROUGH, MA, 01752 US</v>
    <v>5.25</v>
    <v>Software &amp; IT Services</v>
    <v>Stock</v>
    <v>46289.006944444445</v>
    <v>310</v>
    <v>5</v>
    <v>29783416</v>
    <v>CONNECTM TECHNOLOGY SOLUTIONS, INC.</v>
    <v>CONNECTM TECHNOLOGY SOLUTIONS, INC.</v>
    <v>5.12</v>
    <v>0</v>
    <v>4.99</v>
    <v>5.2</v>
    <v>5.21</v>
    <v>5727580</v>
    <v>CNTM</v>
    <v>CONNECTM TECHNOLOGY SOLUTIONS, INC. (OTCM:CNTM)</v>
    <v>3869</v>
    <v>8496748</v>
    <v>2021</v>
  </rv>
  <rv s="1">
    <v>311</v>
  </rv>
  <rv s="2">
    <v>https://www.bing.com/financeapi/forcetrigger?t=bxb5p2&amp;q=XNAS%3aENVX&amp;form=skydnc</v>
    <v>Learn more on Bing</v>
  </rv>
  <rv s="3">
    <v>5</v>
    <v>Enovix Corporation (XNAS:ENVX)</v>
    <v>6</v>
    <v>3</v>
    <v>Finance</v>
    <v>4</v>
    <v>en-US</v>
    <v>bxb5p2</v>
    <v>268435456</v>
    <v>1</v>
    <v>Powered by Refinitiv</v>
    <v>14.21</v>
    <v>2.85</v>
    <v>2.4657</v>
    <v>-0.115</v>
    <v>-3.7643000000000003E-2</v>
    <v>0.01</v>
    <v>3.4009999999999999E-3</v>
    <v>USD</v>
    <v>Enovix Corporation is a high-performance battery company. The Company is focused on designing, developing, manufacturing, and commercializing Lithium-ion, or Li-ion, batteries, including silicon-anode architectures, for smartphones, smart eyewear, defense, industrial and emerging edge artificial intelligence (AI) applications. Its silicon-anode battery architecture enables energy density and performance relative to conventional battery cells, particularly in space-constrained devices. It focuses on developing a battery architecture that allows the use of active silicon and no graphite in the battery's anode, which is the negative electrode that stores lithium ions when a battery is charged. Its AI-1 battery platform is architected as a unified silicon-anode platform designed to address the high-performance consumer electronics and defense applications. The AI-1 platform is designed to support AI-enabled smartphones and smart eyewear, as well as other edge-AI devices.</v>
    <v>664</v>
    <v>Nasdaq Stock Market</v>
    <v>XNAS</v>
    <v>XNAS</v>
    <v>3501 W. Warren Avenue, FREMONT, CA, 94538 US</v>
    <v>3.0489999999999999</v>
    <v>Machinery, Equipment &amp; Components</v>
    <v>Stock</v>
    <v>46288.997559443749</v>
    <v>313</v>
    <v>2.92</v>
    <v>645178590</v>
    <v>Enovix Corporation</v>
    <v>Enovix Corporation</v>
    <v>3.04</v>
    <v>0</v>
    <v>3.0550000000000002</v>
    <v>2.94</v>
    <v>2.95</v>
    <v>219448500</v>
    <v>ENVX</v>
    <v>Enovix Corporation (XNAS:ENVX)</v>
    <v>4147240</v>
    <v>7141693</v>
    <v>2020</v>
  </rv>
  <rv s="1">
    <v>314</v>
  </rv>
  <rv s="2">
    <v>https://www.bing.com/financeapi/forcetrigger?t=bx1rdm&amp;q=XNYS%3aSMR&amp;form=skydnc</v>
    <v>Learn more on Bing</v>
  </rv>
  <rv s="7">
    <v>12</v>
    <v>NUSCALE POWER CORPORATION (XNYS:SMR)</v>
    <v>6</v>
    <v>13</v>
    <v>Finance</v>
    <v>4</v>
    <v>en-US</v>
    <v>bx1rdm</v>
    <v>268435456</v>
    <v>1</v>
    <v>Powered by Refinitiv</v>
    <v>57.42</v>
    <v>7.21</v>
    <v>2.3525</v>
    <v>-0.21</v>
    <v>-2.3622000000000001E-2</v>
    <v>9.9000000000000008E-3</v>
    <v>1.1409999999999999E-3</v>
    <v>USD</v>
    <v>NuScale Power Corporation is a provider of proprietary advanced small modular reactor (SMR) nuclear technology. The NuScale Power Module, the Company's SMR technology, is a small pressurized water reactor that can generate approximately 77 megawatts of electricity (MWe) or 250 megawatts thermal (gross) and can be scaled to meet customer needs through an array of flexible configurations of up to 924 MWe (12 modules) of output. In addition to the sale of NPMs, it offers a diversified suite of services throughout the development and operating life of the power plant. The Company's suite of services is planned to include licensing support, testing, training, fuel supply services and program management, among others. It serves a range of customers consisting of domestic and international governments, utilities, state-owned enterprises and technology and industrial companies in need of carbon-free, reliable energy.</v>
    <v>428</v>
    <v>New York Stock Exchange</v>
    <v>XNYS</v>
    <v>XNYS</v>
    <v>1100 Ne Circle Blvd., Suite 350, CORVALLIS, OR, 97330 US</v>
    <v>8.9</v>
    <v>Electrical Utilities &amp; IPPs</v>
    <v>Stock</v>
    <v>46288.999786735934</v>
    <v>316</v>
    <v>8.48</v>
    <v>3729998244</v>
    <v>NUSCALE POWER CORPORATION</v>
    <v>NUSCALE POWER CORPORATION</v>
    <v>8.82</v>
    <v>8.89</v>
    <v>8.68</v>
    <v>8.6898999999999997</v>
    <v>429723300</v>
    <v>SMR</v>
    <v>NUSCALE POWER CORPORATION (XNYS:SMR)</v>
    <v>38534407</v>
    <v>38785178</v>
    <v>2022</v>
  </rv>
  <rv s="1">
    <v>317</v>
  </rv>
  <rv s="2">
    <v>https://www.bing.com/financeapi/forcetrigger?t=a32eww&amp;q=OTCM%3aXDSL&amp;form=skydnc</v>
    <v>Learn more on Bing</v>
  </rv>
  <rv s="16">
    <v>35</v>
    <v>MPHASE TECHNOLOGIES, INC. (OTCM:XDSL)</v>
    <v>6</v>
    <v>36</v>
    <v>Finance</v>
    <v>24</v>
    <v>en-US</v>
    <v>a32eww</v>
    <v>268435456</v>
    <v>1</v>
    <v>Powered by Refinitiv</v>
    <v>4.0000000000000002E-4</v>
    <v>9.9999999999999995E-7</v>
    <v>0</v>
    <v>0</v>
    <v>USD</v>
    <v>mPhase Technologies, Inc. is a climate technology company. The Company’s primary business is concentrated on the development and commercialization of software as a service platform offering that rely on mobile devices to promote sustainability. Its MyPebble platform offers a suite of cloud-based mobility and consumer engagement services that incentivize consumers for purchases and lifestyle choices. The MyPebble platform combines patented Wi-Fi anonymous-onboarding technology, proprietary artificial intelligence (AI), location-awareness, tokenization, game mechanics, electric vehicle (EV)-charger geofencing, a sustainable marketplace, and an expanding network of applications. The Company targets both business customers and consumers via a subscription model. The MyPebble experience is tailored to each individual’s tastes and needs, creating customizable sales opportunities for retailers, along with a scalable platform to benefit from the evolution of EV-centric travel and commerce.</v>
    <v>20</v>
    <v>OTC Markets</v>
    <v>OTCM</v>
    <v>OTCM</v>
    <v>9841 Washingtonian Blvd, Suite 200, GAITHERSBURG, MD, 20878 US</v>
    <v>1E-4</v>
    <v>Software &amp; IT Services</v>
    <v>Stock</v>
    <v>46280.006944444445</v>
    <v>319</v>
    <v>1E-4</v>
    <v>16799</v>
    <v>MPHASE TECHNOLOGIES, INC.</v>
    <v>MPHASE TECHNOLOGIES, INC.</v>
    <v>1E-4</v>
    <v>0</v>
    <v>1E-4</v>
    <v>1E-4</v>
    <v>167990600</v>
    <v>XDSL</v>
    <v>MPHASE TECHNOLOGIES, INC. (OTCM:XDSL)</v>
    <v>1</v>
    <v>1070</v>
    <v>1979</v>
  </rv>
  <rv s="1">
    <v>320</v>
  </rv>
  <rv s="2">
    <v>https://www.bing.com/financeapi/forcetrigger?t=a2de4c&amp;q=OTCM%3aCSOL&amp;form=skydnc</v>
    <v>Learn more on Bing</v>
  </rv>
  <rv s="14">
    <v>30</v>
    <v>CHINA SOLAR &amp; CLEAN ENERGY SOLUTIONS, INC. (OTCM:CSOL)</v>
    <v>6</v>
    <v>48</v>
    <v>Finance</v>
    <v>24</v>
    <v>en-US</v>
    <v>a2de4c</v>
    <v>268435456</v>
    <v>1</v>
    <v>Powered by Refinitiv</v>
    <v>9.9360000000000004E-2</v>
    <v>5.0000000000000001E-4</v>
    <v>-0.2019</v>
    <v>0</v>
    <v>0</v>
    <v>USD</v>
    <v>China Solar &amp; Clean Energy Solutions, Inc. provides pond, lake and lagoon water clean-up services to agricultural entities, municipalities, government entities, HOA’s and private and municipal golf courses. The Company offers varying sizes of nano void generation systems.</v>
    <v>700</v>
    <v>OTC Markets</v>
    <v>OTCM</v>
    <v>OTCM</v>
    <v>2 VALLEY VIEW DRIVE, SUITE 2000, AVON, NY, 14414 US</v>
    <v>7.0000000000000007E-2</v>
    <v>Machinery, Equipment &amp; Components</v>
    <v>Stock</v>
    <v>46283.006944444445</v>
    <v>322</v>
    <v>2.6499999999999999E-2</v>
    <v>6106418</v>
    <v>CHINA SOLAR &amp; CLEAN ENERGY SOLUTIONS, INC.</v>
    <v>CHINA SOLAR &amp; CLEAN ENERGY SOLUTIONS, INC.</v>
    <v>2.6499999999999999E-2</v>
    <v>0</v>
    <v>7.0000000000000007E-2</v>
    <v>7.0000000000000007E-2</v>
    <v>87234550</v>
    <v>CSOL</v>
    <v>CHINA SOLAR &amp; CLEAN ENERGY SOLUTIONS, INC. (OTCM:CSOL)</v>
    <v>50</v>
    <v>7940</v>
    <v>1983</v>
  </rv>
  <rv s="1">
    <v>323</v>
  </rv>
  <rv s="2">
    <v>https://www.bing.com/financeapi/forcetrigger?t=a2g5u2&amp;q=XNAS%3aBEEM&amp;form=skydnc</v>
    <v>Learn more on Bing</v>
  </rv>
  <rv s="3">
    <v>5</v>
    <v>BEAM GLOBAL (XNAS:BEEM)</v>
    <v>6</v>
    <v>3</v>
    <v>Finance</v>
    <v>4</v>
    <v>en-US</v>
    <v>a2g5u2</v>
    <v>268435456</v>
    <v>1</v>
    <v>Powered by Refinitiv</v>
    <v>4.04</v>
    <v>0.96530000000000005</v>
    <v>1.4757</v>
    <v>-5.5E-2</v>
    <v>-4.2969E-2</v>
    <v>-1.4999999999999999E-2</v>
    <v>-1.2244999999999999E-2</v>
    <v>USD</v>
    <v>Beam Global is a clean technology innovator which develops and manufactures sustainable infrastructure products and technologies. The Company develops designs, engineers, manufactures, and sells renewably energized infrastructure products for electric vehicle (EV) charging. It also manufactures steel structures with electronic integration such as street lighting, cell towers and energy infrastructure products, as well as power electronics including invertors, charge controllers, power supplies and light-emitting diode (LED) lighting. Its product offerings include EV ARC Electric Vehicle Autonomous Renewable Charger, Solar Tree Direct Current Fast Charge (DCFC), EV ARC DCFC, BeamSpot, BeamBike, BeamPatrol, BeamWell, and UAV ARC. Its EV ARC Electric Vehicle Autonomous Renewable Charger is a patented infrastructure product that uses integrated solar power and battery storage to provide a mounting asset and a source of power for factory installed electric vehicle charging stations.</v>
    <v>197</v>
    <v>Nasdaq Stock Market</v>
    <v>XNAS</v>
    <v>XNAS</v>
    <v>5660 Eastgate Dr, SAN DIEGO, CA, 92121 US</v>
    <v>1.28</v>
    <v>Renewable Energy</v>
    <v>Stock</v>
    <v>46288.997648251563</v>
    <v>325</v>
    <v>1.22</v>
    <v>27725804</v>
    <v>BEAM GLOBAL</v>
    <v>BEAM GLOBAL</v>
    <v>1.28</v>
    <v>0</v>
    <v>1.28</v>
    <v>1.2250000000000001</v>
    <v>1.21</v>
    <v>22633310</v>
    <v>BEEM</v>
    <v>BEAM GLOBAL (XNAS:BEEM)</v>
    <v>330286</v>
    <v>2076547</v>
    <v>2007</v>
  </rv>
  <rv s="1">
    <v>326</v>
  </rv>
  <rv s="2">
    <v>https://www.bing.com/financeapi/forcetrigger?t=a2r8u2&amp;q=OTCM%3aORBT&amp;form=skydnc</v>
    <v>Learn more on Bing</v>
  </rv>
  <rv s="3">
    <v>5</v>
    <v>ORBIT INTERNATIONAL CORP. (OTCM:ORBT)</v>
    <v>6</v>
    <v>3</v>
    <v>Finance</v>
    <v>47</v>
    <v>en-US</v>
    <v>a2r8u2</v>
    <v>268435456</v>
    <v>1</v>
    <v>Powered by Refinitiv</v>
    <v>13.57</v>
    <v>2.4624999999999999</v>
    <v>0.69579999999999997</v>
    <v>-9.7500000000000003E-2</v>
    <v>-3.2717999999999997E-2</v>
    <v>9.1000000000000004E-3</v>
    <v>3.1569999999999997E-3</v>
    <v>USD</v>
    <v>Orbit International Corp. is an electronics manufacturer and software solution provider. The Company conducts its operations through its Electronics and Power Groups. The Company's Electronics Group (OEG) is comprised of its Orbit Instrument and Tulip Development Laboratory (TDL) Divisions and its Simulator Product Solutions LLC (SPS) and Q-Vio subsidiaries. The OEG is engaged in the design, manufacture and sale of customized electronic components and subsystems. Its principal products include remote control units, intercommunication panels and displays. These products are used primarily in support of military programs. The Power Group (OPG) is comprised of the Company's subsidiary, Behlman Electronics Inc., and is engaged in the design and manufacture of VPX/VME power supplies, commercial power units, AC power supplies, frequency converters and commercial-off-the-shelf power solutions. These products are primarily used in commercial applications and in support of military programs.</v>
    <v>122</v>
    <v>OTC Markets</v>
    <v>OTCM</v>
    <v>OTCM</v>
    <v>80 Cabot Ct, HAUPPAUGE, NY, 11788 US</v>
    <v>2.99</v>
    <v>Machinery, Equipment &amp; Components</v>
    <v>Stock</v>
    <v>46289.006944444445</v>
    <v>328</v>
    <v>2.85</v>
    <v>9643144</v>
    <v>ORBIT INTERNATIONAL CORP.</v>
    <v>ORBIT INTERNATIONAL CORP.</v>
    <v>2.99</v>
    <v>0</v>
    <v>2.98</v>
    <v>2.8824999999999998</v>
    <v>2.8915999999999999</v>
    <v>3345410</v>
    <v>ORBT</v>
    <v>ORBIT INTERNATIONAL CORP. (OTCM:ORBT)</v>
    <v>2256</v>
    <v>3440</v>
    <v>1986</v>
  </rv>
  <rv s="1">
    <v>329</v>
  </rv>
  <rv s="2">
    <v>https://www.bing.com/financeapi/forcetrigger?t=bztgpr&amp;q=XNYS%3aSES&amp;form=skydnc</v>
    <v>Learn more on Bing</v>
  </rv>
  <rv s="7">
    <v>12</v>
    <v>SES AI CORPORATION (XNYS:SES)</v>
    <v>6</v>
    <v>13</v>
    <v>Finance</v>
    <v>4</v>
    <v>en-US</v>
    <v>bztgpr</v>
    <v>268435456</v>
    <v>1</v>
    <v>Powered by Refinitiv</v>
    <v>3.73</v>
    <v>0.4909</v>
    <v>1.0043</v>
    <v>-3.4200000000000001E-2</v>
    <v>-6.1356000000000001E-2</v>
    <v>1.6999999999999999E-3</v>
    <v>3.2490000000000002E-3</v>
    <v>USD</v>
    <v>SES AI Corporation is a battery manufacturing company. The Company is a developer and manufacturer of high-performance, artificial intelligence (AI)-enhanced Lithium-Metal (Li-Metal) and Lithium-ion (Li-ion) rechargeable battery technologies for electric vehicles (EVs), Urban Air Mobility, drones, robotics, Battery Energy Storage Systems and other applications. It utilizes AI across the spectrum of its business, from research and development; materials sourcing; cell design; engineering and manufacturing; to battery health and safety monitoring. The Company's differentiated battery technology is designed to combine the high energy density of Li-Metal with the manufacturability of conventional Li-ion batteries. It produces large 50 Amp-hour (Ah) and 100Ah B-sample Li-Metal battery cells for EVs. Its AI programs fall under three major categories: AI for Science, AI for Manufacturing, and AI for Safety. The Company also specializes in premium energy storage systems.</v>
    <v>215</v>
    <v>New York Stock Exchange</v>
    <v>XNYS</v>
    <v>XNYS</v>
    <v>35 Cabot Rd., WOBURN, MA, 01801 US</v>
    <v>0.55559999999999998</v>
    <v>Machinery, Equipment &amp; Components</v>
    <v>Stock</v>
    <v>46288.999682892965</v>
    <v>331</v>
    <v>0.5151</v>
    <v>194257567</v>
    <v>SES AI CORPORATION</v>
    <v>SES AI CORPORATION</v>
    <v>0.55149999999999999</v>
    <v>0.55740000000000001</v>
    <v>0.5232</v>
    <v>0.52490000000000003</v>
    <v>371287400</v>
    <v>SES</v>
    <v>SES AI CORPORATION (XNYS:SES)</v>
    <v>19157487</v>
    <v>16690710</v>
    <v>2022</v>
  </rv>
  <rv s="1">
    <v>332</v>
  </rv>
  <rv s="2">
    <v>https://www.bing.com/financeapi/forcetrigger?t=a2vrur&amp;q=OTCM%3aSING&amp;form=skydnc</v>
    <v>Learn more on Bing</v>
  </rv>
  <rv s="14">
    <v>30</v>
    <v>SINGLEPOINT INC. (OTCM:SING)</v>
    <v>6</v>
    <v>48</v>
    <v>Finance</v>
    <v>24</v>
    <v>en-US</v>
    <v>a2vrur</v>
    <v>268435456</v>
    <v>1</v>
    <v>Powered by Refinitiv</v>
    <v>6.7000000000000002E-3</v>
    <v>9.9999999999999995E-7</v>
    <v>0.62139999999999995</v>
    <v>0</v>
    <v>0</v>
    <v>USD</v>
    <v>SinglePoint Inc. is a renewable energy and sustainable lifestyle company focused on providing environmentally friendly energy efficiencies and healthy living solutions. The Company is primarily focused on sustainability by providing an integrated solar energy solution for its customers and clean environment solutions through its air purification business. The Company, through its subsidiary, The Boston Solar Company LLC (Boston Solar), conducts solar operations. It conducts its air purification operations through Box Pure Air, LLC (Box Pure Air). Boston Solar is focused on providing products and customer service in residential, commercial and industrial installations. Boston Solar has installed more than 6,000 residential and commercial solar systems powering thousands of homes and businesses in New England (predominantly in Massachusetts). Box Pure Air is a distributor of industrial grade air purification products designed and manufactured for schools and commercial buildings.</v>
    <v>60</v>
    <v>OTC Markets</v>
    <v>OTCM</v>
    <v>OTCM</v>
    <v>3104 E Camelback Rd #2137, PHOENIX, AZ, 85016 US</v>
    <v>1E-4</v>
    <v>Construction &amp; Engineering</v>
    <v>Stock</v>
    <v>46288.006944444445</v>
    <v>334</v>
    <v>9.9999999999999995E-7</v>
    <v>79</v>
    <v>SINGLEPOINT INC.</v>
    <v>SINGLEPOINT INC.</v>
    <v>1E-4</v>
    <v>0</v>
    <v>9.9999999999999995E-7</v>
    <v>9.9999999999999995E-7</v>
    <v>79806980</v>
    <v>SING</v>
    <v>SINGLEPOINT INC. (OTCM:SING)</v>
    <v>500</v>
    <v>3354611</v>
    <v>2007</v>
  </rv>
  <rv s="1">
    <v>335</v>
  </rv>
  <rv s="2">
    <v>https://www.bing.com/financeapi/forcetrigger?t=ayzism&amp;q=OTCM%3aEXROF&amp;form=skydnc</v>
    <v>Learn more on Bing</v>
  </rv>
  <rv s="22">
    <v>49</v>
    <v>EXRO TECHNOLOGIES INC. (OTCM:EXROF)</v>
    <v>6</v>
    <v>50</v>
    <v>Finance</v>
    <v>47</v>
    <v>en-US</v>
    <v>ayzism</v>
    <v>268435456</v>
    <v>1</v>
    <v>Powered by Refinitiv</v>
    <v>0.24</v>
    <v>9.9999999999999995E-7</v>
    <v>2.762</v>
    <v>0</v>
    <v>0</v>
    <v>2E-3</v>
    <v>1</v>
    <v>USD</v>
    <v>Exro Technologies Inc. is a clean technology company focused on developing power-control electronics that expand the capabilities of electric motors and batteries. Its suite of solutions includes Coil Driver, Cell Driver, and SEA-Drive. Its motor control and electric propulsion technologies, Coil Driver and SEA-Drive, are designed to bridge the performance-cost gap in e-mobility; its patented battery control technology, Cell Driver, supports stationary energy storage for commercial and industrial applications. Coil Driver is an adaptive electric vehicle traction inverter that seamlessly enables two operating modes in a single electric motor, mitigating the conventional compromise between low-speed torque and high-speed power and efficiency. SEA-Drive is a complete electric power system solution, tailor-made to adapt to a range of trucks and commercial vehicles, enabling the swift and efficient electrification of the entire spectrum from light to heavy-duty.</v>
    <v>160</v>
    <v>OTC Markets</v>
    <v>OTCM</v>
    <v>OTCM</v>
    <v>12-21 Highfield Circle SE, CALGARY, AB, T2G 5N6 CA</v>
    <v>5.0000000000000001E-3</v>
    <v>Machinery, Equipment &amp; Components</v>
    <v>Stock</v>
    <v>45973.930555555555</v>
    <v>337</v>
    <v>2E-3</v>
    <v>11480680</v>
    <v>EXRO TECHNOLOGIES INC.</v>
    <v>EXRO TECHNOLOGIES INC.</v>
    <v>2E-3</v>
    <v>0</v>
    <v>2E-3</v>
    <v>2E-3</v>
    <v>4.0000000000000001E-3</v>
    <v>573009700</v>
    <v>EXROF</v>
    <v>EXRO TECHNOLOGIES INC. (OTCM:EXROF)</v>
    <v>787189</v>
    <v>2014</v>
  </rv>
  <rv s="1">
    <v>338</v>
  </rv>
  <rv s="2">
    <v>https://www.bing.com/financeapi/forcetrigger?t=b13zhw&amp;q=XNYS%3aKULR&amp;form=skydnc</v>
    <v>Learn more on Bing</v>
  </rv>
  <rv s="7">
    <v>12</v>
    <v>KULR TECHNOLOGY GROUP, INC. (XNYS:KULR)</v>
    <v>6</v>
    <v>13</v>
    <v>Finance</v>
    <v>4</v>
    <v>en-US</v>
    <v>b13zhw</v>
    <v>268435456</v>
    <v>1</v>
    <v>Powered by Refinitiv</v>
    <v>5.9992999999999999</v>
    <v>1.94</v>
    <v>2.3307000000000002</v>
    <v>-0.03</v>
    <v>-1.2295E-2</v>
    <v>0</v>
    <v>0</v>
    <v>USD</v>
    <v>KULR Technology Group, Inc. is a Bitcoin+ Treasury company that builds a portfolio of technology businesses ranging from high-performance energy systems to artificial intelligence (AI) robotics. It delivers energy storage solutions for space, aerospace, and defense by leveraging a foundation of in-house battery design expertise, comprehensive cell and battery testing suite, and battery fabrication and production capabilities. Its offering allows delivery of commercial-off-the-shelf and custom energy storage systems. Its segments include Energy Management Platform and Mining of Digital Assets. Its products and solutions include KULR ONE Space Batteries, KULR ONE Air Batteries, Battery Solutions, Thermal Solutions, Testing Solutions and Xero Vibe Fan. It also specializes in the industrial robotics and AI sectors through the distribution of the Exia exoskeleton systems. The Exia is a wearable exoskeleton designed to reduce strain and prevent injuries, especially in the lower back.</v>
    <v>47</v>
    <v>New York Stock Exchange</v>
    <v>XNYS</v>
    <v>XNYS</v>
    <v>555 Forge River Road, WEBSTER, TX, 77598 US</v>
    <v>2.48</v>
    <v>Machinery, Equipment &amp; Components</v>
    <v>Stock</v>
    <v>46288.990910346874</v>
    <v>340</v>
    <v>2.395</v>
    <v>111535571</v>
    <v>KULR TECHNOLOGY GROUP, INC.</v>
    <v>KULR TECHNOLOGY GROUP, INC.</v>
    <v>2.44</v>
    <v>2.44</v>
    <v>2.41</v>
    <v>2.41</v>
    <v>46280320</v>
    <v>KULR</v>
    <v>KULR TECHNOLOGY GROUP, INC. (XNYS:KULR)</v>
    <v>512454</v>
    <v>698050</v>
    <v>2015</v>
  </rv>
  <rv s="1">
    <v>341</v>
  </rv>
  <rv s="2">
    <v>https://www.bing.com/financeapi/forcetrigger?t=bgomvh&amp;q=OTCM%3aELGT&amp;form=skydnc</v>
    <v>Learn more on Bing</v>
  </rv>
  <rv s="13">
    <v>28</v>
    <v>ELECTRIC &amp; GAS TECHNOLOGY, INC. (OTCM:ELGT)</v>
    <v>6</v>
    <v>29</v>
    <v>Finance</v>
    <v>24</v>
    <v>en-US</v>
    <v>bgomvh</v>
    <v>268435456</v>
    <v>1</v>
    <v>Powered by Refinitiv</v>
    <v>9.9999999999999995E-7</v>
    <v>9.9999999999999995E-7</v>
    <v>0</v>
    <v>0</v>
    <v>USD</v>
    <v>Electric &amp; Gas Technology, Inc (ELGT) is the owner of 100% of Reynolds Equipment, Inc. (Reynolds) and Logic Metals Technology, Inc. (LMT). Through these subsidiaries, the Company operates in two business segments: Utilities Products and Contract Manufacturing. Reynolds, operating in the Utilities Products segment, designs, manufactures and markets products for natural gas measurement, metering and odorization primarily for municipalities and publicly owned utility companies. Materials consist of circuit boards utilizing industry standard components, industry standard probes and hardware.</v>
    <v>103</v>
    <v>OTC Markets</v>
    <v>OTCM</v>
    <v>OTCM</v>
    <v>3305 Main St, ROWLETT, TX, 75088-4983 US</v>
    <v>9.9999999999999995E-7</v>
    <v>Machinery, Equipment &amp; Components</v>
    <v>Stock</v>
    <v>46231.669465705469</v>
    <v>343</v>
    <v>9.9999999999999995E-7</v>
    <v>8</v>
    <v>ELECTRIC &amp; GAS TECHNOLOGY, INC.</v>
    <v>ELECTRIC &amp; GAS TECHNOLOGY, INC.</v>
    <v>9.9999999999999995E-7</v>
    <v>0</v>
    <v>9.9999999999999995E-7</v>
    <v>9.9999999999999995E-7</v>
    <v>8599460</v>
    <v>ELGT</v>
    <v>ELECTRIC &amp; GAS TECHNOLOGY, INC. (OTCM:ELGT)</v>
    <v>1304</v>
    <v>1985</v>
  </rv>
  <rv s="1">
    <v>344</v>
  </rv>
  <rv s="2">
    <v>https://www.bing.com/financeapi/forcetrigger?t=a1s8pr&amp;q=OTCM%3aESNC&amp;form=skydnc</v>
    <v>Learn more on Bing</v>
  </rv>
  <rv s="16">
    <v>35</v>
    <v>ENSYNC, INC. (OTCM:ESNC)</v>
    <v>6</v>
    <v>36</v>
    <v>Finance</v>
    <v>24</v>
    <v>en-US</v>
    <v>a1s8pr</v>
    <v>268435456</v>
    <v>1</v>
    <v>Powered by Refinitiv</v>
    <v>0.47510000000000002</v>
    <v>9.9999999999999995E-7</v>
    <v>0</v>
    <v>0</v>
    <v>USD</v>
    <v>EnSync, Inc., doing business as EnSync Energy Systems (EnSync Energy), is focused on distributed energy resource (DER) systems and Internet of energy (IOE) control platforms. EnSync Energy ensures electricity, delivered from an electrical infrastructure that prioritizes the use of all available resources, such as renewables, energy storage and the utility grid. As a project developer, EnSync Energy's distinctive engagement methodology encompasses load analysis, system design consulting, and technical and financial modeling to ensure energy systems are sized and optimized. Its direct current (DC) power control hardware, energy management software, and experience with energy storage technologies positions EnSync Energy to deliver fully integrated systems that provide for design, procurement, commissioning and ongoing operation. In addition to direct system sales, EnSync Energy includes power purchase agreements (PPAs). The Company is on the verge of initiating insolvency proceedings.</v>
    <v>64</v>
    <v>OTC Markets</v>
    <v>OTCM</v>
    <v>OTCM</v>
    <v>N88W13901 Main St Ste 200, MENOMONEE FALLS, WI, 53051-2330 US</v>
    <v>1E-4</v>
    <v>Machinery, Equipment &amp; Components</v>
    <v>Stock</v>
    <v>46269.563311990627</v>
    <v>346</v>
    <v>1E-4</v>
    <v>6808</v>
    <v>ENSYNC, INC.</v>
    <v>ENSYNC, INC.</v>
    <v>1E-4</v>
    <v>0</v>
    <v>1E-4</v>
    <v>1E-4</v>
    <v>68088050</v>
    <v>ESNC</v>
    <v>ENSYNC, INC. (OTCM:ESNC)</v>
    <v>2</v>
    <v>2660</v>
    <v>1998</v>
  </rv>
  <rv s="1">
    <v>347</v>
  </rv>
  <rv s="2">
    <v>https://www.bing.com/financeapi/forcetrigger?t=c5oqk2&amp;q=XNAS%3aXPON&amp;form=skydnc</v>
    <v>Learn more on Bing</v>
  </rv>
  <rv s="3">
    <v>5</v>
    <v>EXPION ENERGY, INC. (XNAS:XPON)</v>
    <v>6</v>
    <v>3</v>
    <v>Finance</v>
    <v>4</v>
    <v>en-US</v>
    <v>c5oqk2</v>
    <v>268435456</v>
    <v>1</v>
    <v>Powered by Refinitiv</v>
    <v>24.6</v>
    <v>2.77</v>
    <v>0.66390000000000005</v>
    <v>-0.59</v>
    <v>-0.11132099999999999</v>
    <v>0.14000000000000001</v>
    <v>2.9724E-2</v>
    <v>USD</v>
    <v>Expion Energy, Inc., formerly Expion360 Inc., specializes in energy storage solutions and delivery. The Company offers lithium iron phosphate (LiFePO4) batteries and accessories for recreational vehicles, marine applications, light electric vehicles (EVs) and industrial applications. The Company's lithium-ion batteries feature half the weight of standard lead-acid batteries. The Company’s lithium-ion batteries are available through more than 300 dealers, wholesalers, private-label customers, and original equipment manufacturers (OEMs) across the country. The Company is also focused on the oil and gas sector to capture demand driven by power generation needs, industrial growth, and long-term expansion LNG markets. It owns assets including an existing oil and gas leasehold of approximately 3,000 net acres within the prospect, a wellbore, mineral title research covering approximately 13,000 net acres, and intellectual property developed in connection with the prospect.</v>
    <v>22</v>
    <v>Nasdaq Stock Market</v>
    <v>XNAS</v>
    <v>XNAS</v>
    <v>2025 SW Deerhound Avenue, REDMOND, OR, 97756 US</v>
    <v>5.34</v>
    <v>Machinery, Equipment &amp; Components</v>
    <v>Stock</v>
    <v>46288.99365710625</v>
    <v>349</v>
    <v>4.6550000000000002</v>
    <v>4768875</v>
    <v>EXPION ENERGY, INC.</v>
    <v>EXPION ENERGY, INC.</v>
    <v>5.34</v>
    <v>0</v>
    <v>5.3</v>
    <v>4.71</v>
    <v>4.8499999999999996</v>
    <v>1012500</v>
    <v>XPON</v>
    <v>EXPION ENERGY, INC. (XNAS:XPON)</v>
    <v>76225</v>
    <v>5806813</v>
    <v>2021</v>
  </rv>
  <rv s="1">
    <v>350</v>
  </rv>
  <rv s="2">
    <v>https://www.bing.com/financeapi/forcetrigger?t=bsjhec&amp;q=XNAS%3aNEOV&amp;form=skydnc</v>
    <v>Learn more on Bing</v>
  </rv>
  <rv s="3">
    <v>5</v>
    <v>NEOVOLTA INC (XNAS:NEOV)</v>
    <v>6</v>
    <v>3</v>
    <v>Finance</v>
    <v>4</v>
    <v>en-US</v>
    <v>bsjhec</v>
    <v>268435456</v>
    <v>1</v>
    <v>Powered by Refinitiv</v>
    <v>7.13</v>
    <v>1.36</v>
    <v>-0.38979999999999998</v>
    <v>-0.19</v>
    <v>-5.6548000000000001E-2</v>
    <v>-0.51</v>
    <v>-0.160883</v>
    <v>USD</v>
    <v>NeoVolta Inc. is an energy technology company delivering scalable storage for residential and commercial power infrastructure. Its products include NV WAVE, NV14 + NV24, NVPlus + NV7600, NV16 and C&amp;I. It primarily markets and sells its products directly to its certified solar installers and solar equipment distributors. The NV Wave integrates a system controller with inverters, a BMU and battery modules with individual BMS's into one streamlined unit. The NeoVolta NV14 is a fully integrated hybrid inverter energy storage system. The NV24 is an expansion battery module designed to boost the energy storage capacity of the NV14 system from 14.4kWh to a total of 24.0kWh. The NeoVolta NV7600 is a compact 7.6 kW all-in-one hybrid inverter designed for both grid-tie and off-grid operation. Its neuClick system integrates battery, inverter, and communications within a compact, plug-and-play housing that can be installed by a single licensed electrician in less than 30 minutes.</v>
    <v>17</v>
    <v>Nasdaq Stock Market</v>
    <v>XNAS</v>
    <v>XNAS</v>
    <v>12195 Dearborn Place, POWAY, CA, 92064 US</v>
    <v>3.44</v>
    <v>Machinery, Equipment &amp; Components</v>
    <v>Stock</v>
    <v>46288.999851446097</v>
    <v>352</v>
    <v>3.15</v>
    <v>174053351</v>
    <v>NEOVOLTA INC</v>
    <v>NEOVOLTA INC</v>
    <v>3.4</v>
    <v>0</v>
    <v>3.36</v>
    <v>3.17</v>
    <v>2.66</v>
    <v>54906420</v>
    <v>NEOV</v>
    <v>NEOVOLTA INC (XNAS:NEOV)</v>
    <v>2852028</v>
    <v>1586460</v>
    <v>2018</v>
  </rv>
  <rv s="1">
    <v>353</v>
  </rv>
  <rv s="2">
    <v>https://www.bing.com/financeapi/forcetrigger?t=a2irww&amp;q=OTCM%3aFLCX&amp;form=skydnc</v>
    <v>Learn more on Bing</v>
  </rv>
  <rv s="23">
    <v>51</v>
    <v>QUANTUM ENERGY CORPORATION (OTCM:FLCX)</v>
    <v>6</v>
    <v>52</v>
    <v>Finance</v>
    <v>24</v>
    <v>en-US</v>
    <v>a2irww</v>
    <v>268435456</v>
    <v>1</v>
    <v>Powered by Refinitiv</v>
    <v>1E-3</v>
    <v>9.9999999999999995E-7</v>
    <v>0</v>
    <v>0</v>
    <v>USD</v>
    <v>Quantum Energy Corp is a licensee and manufacturer of transformative photonic, magnetic propulsion, capacitor and battery energy systems for the direct generation and distribution of electrical energy produced and used by the consumer. The Company offers Direct Energy Systems for industrial, institutional, commercial, governmental, remote and residential installations. Its patent pending technologies combine uses of photonic, magnetic and rare earth processing and manufacturing, turning solar power into Photon Power. It also specializes in magnets and magnet assemblies. The Company offers seven types of permanent magnets, including rare earth magnets, neodymium magnets and samarium-cobalt magnets. Its storage systems include dry-charged 2,000 Amp Capacitor Systems, as well as lithium-ion, and gel cells. Its product applications include manufacturing, industrial, hotel and multi-tenant, government, and defense, residential, commercial, cellular, and remote and healthcare.</v>
    <v>OTC Markets</v>
    <v>OTCM</v>
    <v>OTCM</v>
    <v>3825 Rockbottom, NORTH LAS VEGAS, NV, 89030 US</v>
    <v>2.0000000000000001E-4</v>
    <v>Machinery, Equipment &amp; Components</v>
    <v>Stock</v>
    <v>46170.791426296091</v>
    <v>355</v>
    <v>2.0000000000000001E-4</v>
    <v>14897</v>
    <v>QUANTUM ENERGY CORPORATION</v>
    <v>QUANTUM ENERGY CORPORATION</v>
    <v>2.0000000000000001E-4</v>
    <v>8.5000000000000006E-3</v>
    <v>2.0000000000000001E-4</v>
    <v>2.0000000000000001E-4</v>
    <v>74487740</v>
    <v>FLCX</v>
    <v>QUANTUM ENERGY CORPORATION (OTCM:FLCX)</v>
    <v>910</v>
    <v>2014</v>
  </rv>
  <rv s="1">
    <v>356</v>
  </rv>
  <rv s="24">
    <v>53</v>
    <v>Hypercharge Networks Corp (NEOE:HC)</v>
    <v>2</v>
    <v>54</v>
    <v>Finance</v>
    <v>19</v>
    <v>en-US</v>
    <v>c82tk2</v>
    <v>268435456</v>
    <v>1</v>
    <v>Powered by Refinitiv</v>
    <v>0.125</v>
    <v>7.0000000000000007E-2</v>
    <v>-5.0000000000000001E-3</v>
    <v>-5.8823999999999994E-2</v>
    <v>CAD</v>
    <v>Hypercharge Networks Corp. is a Canada-based company. The Company is a provider of smart electric vehicle (EV) charging solutions for residential and commercial buildings, fleet operations, and other growing sectors. Its EV Charging Software includes Eevion Integrated Charging, Quantev Operations Suite, and Driver Mobile App. Its DC Fast Charging Stations includes ABB Terra Series, Autel MaxiCharger DC, and XCHARGE GridLink. Its EV Charging Services include carbon credit program, comprehensive warranty, EV ready plans, managed networking, project design and installation, site preparation package, proactev station monitoring, and charging-as-a-service. Its Level 2 Charging Stations include Hypercharge Halo, Hypercharge EVC11, and others. It serves various industries, such as auto dealerships, cities and municipalities, fleets, gas stations, hospitality and hotels, indigenous communities, new developments, parking lots, retail, workplaces, apartments and condos, and single-family homes.</v>
    <v>13</v>
    <v>NEO Exchange</v>
    <v>NEOE</v>
    <v>NEOE</v>
    <v>208-1075 West 1st St, VANCOUVER, BC, V7P 3T4 CA</v>
    <v>0.08</v>
    <v>Electrical Utilities &amp; IPPs</v>
    <v>Stock</v>
    <v>46287.782099721873</v>
    <v>0.08</v>
    <v>11085232</v>
    <v>Hypercharge Networks Corp</v>
    <v>Hypercharge Networks Corp</v>
    <v>0.08</v>
    <v>8.5000000000000006E-2</v>
    <v>0.08</v>
    <v>138565400</v>
    <v>HC</v>
    <v>Hypercharge Networks Corp (NEOE:HC)</v>
    <v>8000</v>
    <v>65860</v>
    <v>2018</v>
  </rv>
  <rv s="1">
    <v>358</v>
  </rv>
  <rv s="2">
    <v>https://www.bing.com/financeapi/forcetrigger?t=a2e67w&amp;q=OTCM%3aDEWY&amp;form=skydnc</v>
    <v>Learn more on Bing</v>
  </rv>
  <rv s="13">
    <v>28</v>
    <v>THE DEWEY ELECTRONICS CORPORATION (OTCM:DEWY)</v>
    <v>6</v>
    <v>29</v>
    <v>Finance</v>
    <v>24</v>
    <v>en-US</v>
    <v>a2e67w</v>
    <v>268435456</v>
    <v>1</v>
    <v>Powered by Refinitiv</v>
    <v>2.5499999999999998</v>
    <v>2.35</v>
    <v>-0.2</v>
    <v>-7.8431000000000001E-2</v>
    <v>USD</v>
    <v>The Dewey Electronics Corporation is a systems-oriented research and development company. The Company designs and builds electronic and electromechanical systems for the United States Navy and Air Force. It is also engaged in engineering, system design, and power integration. It provides its customers with solutions such as power generation, power distribution, and energy management. The Company provides research and development engineering, prototyping, testing, and evaluation of compact diesel power generators. Its products include power, non-power and IntelliGen (INI) power products. Its power products include kilowatt (kW) military tactical generators, man-portable generators, hybrid power generation systems, vehicle auxiliary power units, custom solutions and generator accessories. Its non-power products include pitlog products and former Goodman Ball Incorporated (GBI) products. Its INI power products include INI 5kW, INI 2.2kW, INI custom products, INI accessories and NSN list.</v>
    <v>34</v>
    <v>OTC Markets</v>
    <v>OTCM</v>
    <v>OTCM</v>
    <v>27 Muller Road, OAKLAND, NJ, 07436 US</v>
    <v>2.4500000000000002</v>
    <v>Machinery, Equipment &amp; Components</v>
    <v>Stock</v>
    <v>46050.666653217188</v>
    <v>360</v>
    <v>2.35</v>
    <v>3211815</v>
    <v>THE DEWEY ELECTRONICS CORPORATION</v>
    <v>THE DEWEY ELECTRONICS CORPORATION</v>
    <v>2.35</v>
    <v>0</v>
    <v>2.5499999999999998</v>
    <v>2.35</v>
    <v>1366730</v>
    <v>DEWY</v>
    <v>THE DEWEY ELECTRONICS CORPORATION (OTCM:DEWY)</v>
    <v>5498</v>
    <v>1955</v>
  </rv>
  <rv s="1">
    <v>361</v>
  </rv>
  <rv s="2">
    <v>https://www.bing.com/financeapi/forcetrigger?t=a213hw&amp;q=XNAS%3aPOLA&amp;form=skydnc</v>
    <v>Learn more on Bing</v>
  </rv>
  <rv s="3">
    <v>5</v>
    <v>POLAR POWER, INC. (XNAS:POLA)</v>
    <v>6</v>
    <v>3</v>
    <v>Finance</v>
    <v>4</v>
    <v>en-US</v>
    <v>a213hw</v>
    <v>268435456</v>
    <v>1</v>
    <v>Powered by Refinitiv</v>
    <v>5.7499000000000002</v>
    <v>1.23</v>
    <v>1.1702999999999999</v>
    <v>-0.02</v>
    <v>-1.4924999999999999E-2</v>
    <v>0</v>
    <v>0</v>
    <v>USD</v>
    <v>Polar Power, Inc. is a provider of direct current (DC) advanced power and cooling systems. The Company’s product portfolio includes standard products for telecom, military, renewable energy, marine, automotive, residential, commercial, oil field and mining applications. Its systems can be configured to operate on any energy source, including photovoltaics, diesel, LPG (propane and butane), and renewable fuels. Its telecom power solutions offer installation, permitting, site leases, and operation. Its military solutions provide power solutions for robotics, drones, communications, hybrid propulsion, and other applications. Its mobile rapid battery charging technology enables on-demand roadside charging for electric vehicles. Its combined heat and power (CHP) residential systems offer vehicle charging and integrated home power systems via natural gas or propane feedstocks. Its micro/nano-grid solutions provide lower-cost energy in bad-grid or no-grid environments.</v>
    <v>67</v>
    <v>Nasdaq Stock Market</v>
    <v>XNAS</v>
    <v>XNAS</v>
    <v>249 E Gardena Blvd, GARDENA, CA, 90248-2813 US</v>
    <v>1.35</v>
    <v>Machinery, Equipment &amp; Components</v>
    <v>Stock</v>
    <v>46288.873532719532</v>
    <v>363</v>
    <v>1.28</v>
    <v>5688302</v>
    <v>POLAR POWER, INC.</v>
    <v>POLAR POWER, INC.</v>
    <v>1.31</v>
    <v>0</v>
    <v>1.34</v>
    <v>1.32</v>
    <v>1.32</v>
    <v>4309320</v>
    <v>POLA</v>
    <v>POLAR POWER, INC. (XNAS:POLA)</v>
    <v>114648</v>
    <v>438359</v>
    <v>2016</v>
  </rv>
  <rv s="1">
    <v>364</v>
  </rv>
  <rv s="2">
    <v>https://www.bing.com/financeapi/forcetrigger?t=a1pg3m&amp;q=XNYS%3aCEI&amp;form=skydnc</v>
    <v>Learn more on Bing</v>
  </rv>
  <rv s="3">
    <v>5</v>
    <v>VIKING GLOBAL TECHNOLOGIES, INC. (OTCM:CEIN)</v>
    <v>6</v>
    <v>3</v>
    <v>Finance</v>
    <v>47</v>
    <v>en-US</v>
    <v>a1pg3m</v>
    <v>268435456</v>
    <v>1</v>
    <v>Powered by Refinitiv</v>
    <v>5.5E-2</v>
    <v>1.72E-2</v>
    <v>1.5996999999999999</v>
    <v>-3.3E-4</v>
    <v>-1.1828E-2</v>
    <v>-1.3649999999999999E-3</v>
    <v>-4.9519000000000001E-2</v>
    <v>USD</v>
    <v>Viking Global Technologies, Inc., formerly Camber Energy, Inc., is a technology-focused company developing and commercializing proprietary solutions intended to address significant infrastructure, environmental and industrial challenges. Its technology portfolio, including Viking Protection Systems, is focused on the development and commercialization of the Company's patented grid-protection technology, and Viking Ozone Technology, which is focused on the development and commercialization of the Company's proprietary ozone-based waste-treatment technology.</v>
    <v>0</v>
    <v>OTC Markets</v>
    <v>OTCM</v>
    <v>OTCM</v>
    <v>15915 KATY FREEWAY, SUITE 450, HOUSTON, TX, 77094 US</v>
    <v>2.8299999999999999E-2</v>
    <v>Machinery, Equipment &amp; Components</v>
    <v>Stock</v>
    <v>46289.006944444445</v>
    <v>366</v>
    <v>2.5700000000000001E-2</v>
    <v>7768853</v>
    <v>VIKING GLOBAL TECHNOLOGIES, INC.</v>
    <v>VIKING GLOBAL TECHNOLOGIES, INC.</v>
    <v>2.7900000000000001E-2</v>
    <v>0</v>
    <v>2.7900000000000001E-2</v>
    <v>2.7570000000000001E-2</v>
    <v>2.6200000000000001E-2</v>
    <v>281786500</v>
    <v>CEIN</v>
    <v>VIKING GLOBAL TECHNOLOGIES, INC. (OTCM:CEIN)</v>
    <v>150327</v>
    <v>5942420</v>
    <v>2003</v>
  </rv>
  <rv s="1">
    <v>367</v>
  </rv>
  <rv s="2">
    <v>https://www.bing.com/financeapi/forcetrigger?t=a2x5ar&amp;q=OTCM%3aSTCI&amp;form=skydnc</v>
    <v>Learn more on Bing</v>
  </rv>
  <rv s="25">
    <v>55</v>
    <v>SURGE TECHNOLOGIES, INC. (OTCM:STCI)</v>
    <v>6</v>
    <v>56</v>
    <v>Finance</v>
    <v>57</v>
    <v>en-US</v>
    <v>a2x5ar</v>
    <v>268435456</v>
    <v>1</v>
    <v>Powered by Refinitiv</v>
    <v>5.0000000000000001E-4</v>
    <v>5.0000000000000001E-4</v>
    <v>4.0000000000000002E-4</v>
    <v>USD</v>
    <v>Surge Technologies Inc. is a telecommunication networks company. The Company is engaged in design, manufacture and selling of a high-quality line of electrical surge protection devices used in telecommunication networks. Its surge protection devices prevent electrical surge hazards from causing systems failures, damaging expensive equipment and harming personnel. Its products have various applications, ranging from residential use to industrial use. Its surge protectors are sold to the telecommunications industry throughout North America, including to major telecoms.</v>
    <v>OTC Markets</v>
    <v>OTCM</v>
    <v>OTCM</v>
    <v>6655 West Sahara Avenue Suite B-200,, LAS VEGAS, NV, 89102 US</v>
    <v>5.0000000000000001E-4</v>
    <v>Stock</v>
    <v>46014.048611111109</v>
    <v>369</v>
    <v>5.0000000000000001E-4</v>
    <v>SURGE TECHNOLOGIES, INC.</v>
    <v>SURGE TECHNOLOGIES, INC.</v>
    <v>5.0000000000000001E-4</v>
    <v>0</v>
    <v>1E-4</v>
    <v>5.0000000000000001E-4</v>
    <v>STCI</v>
    <v>SURGE TECHNOLOGIES, INC. (OTCM:STCI)</v>
    <v>2</v>
  </rv>
  <rv s="1">
    <v>370</v>
  </rv>
  <rv s="2">
    <v>https://www.bing.com/financeapi/forcetrigger?t=a25pdm&amp;q=XNAS%3aWATT&amp;form=skydnc</v>
    <v>Learn more on Bing</v>
  </rv>
  <rv s="3">
    <v>5</v>
    <v>ENERGOUS CORPORATION (XNAS:WATT)</v>
    <v>6</v>
    <v>3</v>
    <v>Finance</v>
    <v>4</v>
    <v>en-US</v>
    <v>a25pdm</v>
    <v>268435456</v>
    <v>1</v>
    <v>Powered by Refinitiv</v>
    <v>36.979900000000001</v>
    <v>3.6200999999999999</v>
    <v>1.5543</v>
    <v>0.01</v>
    <v>7.7099999999999998E-4</v>
    <v>2.1100000000000001E-2</v>
    <v>1.6259999999999998E-3</v>
    <v>USD</v>
    <v>Energous Corporation is a developer of over-the-air Wireless Power Network (WPN) technology that integrates advanced semiconductor chipsets, software controls, hardware designs and antenna systems to enable radio frequency (RF)-based charging for Internet of Things devices. Its WPN technology provides a comprehensive suite of capabilities designed to power the wireless energy networks, seamlessly delivering power and data across diverse, battery-free device ecosystems. Its RF-based, scalable WPN solutions enable wireless charging, ranging from contact-based applications to at-a-distance applications, that charge over the air, transforming the way electronic devices are charged and powered. Its wireless power transmitter and receiver technologies deliver continuous access to wireless power, helping drive a new generation of battery-free devices for asset and inventory tracking and management. Its integrated circuits (ICs) are designed for both lower-power and higher-power applications.</v>
    <v>27</v>
    <v>Nasdaq Stock Market</v>
    <v>XNAS</v>
    <v>XNAS</v>
    <v>3590 N 1st St Ste 210, SAN JOSE, CA, 95134 US</v>
    <v>13.87</v>
    <v>Machinery, Equipment &amp; Components</v>
    <v>Stock</v>
    <v>46288.97917289297</v>
    <v>372</v>
    <v>12.65</v>
    <v>71741368</v>
    <v>ENERGOUS CORPORATION</v>
    <v>ENERGOUS CORPORATION</v>
    <v>12.86</v>
    <v>0</v>
    <v>12.97</v>
    <v>12.98</v>
    <v>13.001099999999999</v>
    <v>5527070</v>
    <v>WATT</v>
    <v>ENERGOUS CORPORATION (XNAS:WATT)</v>
    <v>409961</v>
    <v>149325</v>
    <v>2012</v>
  </rv>
  <rv s="1">
    <v>373</v>
  </rv>
  <rv s="2">
    <v>https://www.bing.com/financeapi/forcetrigger?t=a2jfjc&amp;q=OTCM%3aHESV&amp;form=skydnc</v>
    <v>Learn more on Bing</v>
  </rv>
  <rv s="26">
    <v>58</v>
    <v>Home Energy Savings Corp (OTCM:HESV)</v>
    <v>6</v>
    <v>59</v>
    <v>Finance</v>
    <v>24</v>
    <v>en-US</v>
    <v>a2jfjc</v>
    <v>268435456</v>
    <v>1</v>
    <v>Powered by Refinitiv</v>
    <v>9.9999999999999995E-7</v>
    <v>9.9999999999999995E-7</v>
    <v>0</v>
    <v>0</v>
    <v>USD</v>
    <v>OTC Markets</v>
    <v>OTCM</v>
    <v>OTCM</v>
    <v>Suite 200, 710 Third Street, ROANOKE, VA, 24061 US</v>
    <v>9.9999999999999995E-7</v>
    <v>Stock</v>
    <v>46274.729204224219</v>
    <v>375</v>
    <v>9.9999999999999995E-7</v>
    <v>Home Energy Savings Corp</v>
    <v>Home Energy Savings Corp</v>
    <v>9.9999999999999995E-7</v>
    <v>0</v>
    <v>9.9999999999999995E-7</v>
    <v>9.9999999999999995E-7</v>
    <v>HESV</v>
    <v>Home Energy Savings Corp (OTCM:HESV)</v>
    <v>703</v>
  </rv>
  <rv s="1">
    <v>376</v>
  </rv>
  <rv s="2">
    <v>https://www.bing.com/financeapi/forcetrigger?t=buh4c7&amp;q=XNAS%3aNVVE&amp;form=skydnc</v>
    <v>Learn more on Bing</v>
  </rv>
  <rv s="3">
    <v>5</v>
    <v>NUVVE HOLDING CORP. (OTCM:NVVE)</v>
    <v>6</v>
    <v>3</v>
    <v>Finance</v>
    <v>47</v>
    <v>en-US</v>
    <v>buh4c7</v>
    <v>268435456</v>
    <v>1</v>
    <v>Powered by Refinitiv</v>
    <v>464.4</v>
    <v>0.85</v>
    <v>1.7470000000000001</v>
    <v>0.05</v>
    <v>3.4483E-2</v>
    <v>4.7600000000000003E-2</v>
    <v>3.1732999999999997E-2</v>
    <v>USD</v>
    <v>Nuvve Holding Corp. is a green energy technology company. The Company provides a commercial vehicle-to-grid (V2G) technology platform that enables electric vehicle (EV) and stationary batteries to store and resell unused energy back to the local electric grid and provide other grid services. Its proprietary vehicle to grid (V2G) technology, including the Company's Grid Integrated Vehicle (GIVe) cloud-based software platform that enables it to link multiple electric vehicle (EV) batteries into a virtual power plant (VPP) to provide bi-directional energy to the electrical grid in a qualified and secure manner. It offers networked charging stations, infrastructure, software, professional services, support, monitoring and parts and labor warranties required to run electric vehicle fleets, as well as low or free energy costs. It also operates a small number of company owned charging stations, serving as demonstration projects funded by government grants.</v>
    <v>45</v>
    <v>OTC Markets</v>
    <v>OTCM</v>
    <v>OTCM</v>
    <v>2488 Historic Decatur Road, Suite 230, SAN DIEGO, CA, 92106 US</v>
    <v>1.57</v>
    <v>Electrical Utilities &amp; IPPs</v>
    <v>Stock</v>
    <v>46289.006944444445</v>
    <v>378</v>
    <v>1.45</v>
    <v>1490685</v>
    <v>NUVVE HOLDING CORP.</v>
    <v>NUVVE HOLDING CORP.</v>
    <v>1.5</v>
    <v>0</v>
    <v>1.45</v>
    <v>1.5</v>
    <v>1.5476000000000001</v>
    <v>993790</v>
    <v>NVVE</v>
    <v>NUVVE HOLDING CORP. (OTCM:NVVE)</v>
    <v>10853</v>
    <v>2880632</v>
    <v>2020</v>
  </rv>
  <rv s="1">
    <v>379</v>
  </rv>
  <rv s="2">
    <v>https://www.bing.com/financeapi/forcetrigger?t=a1zaqh&amp;q=XNYS%3aOPTT&amp;form=skydnc</v>
    <v>Learn more on Bing</v>
  </rv>
  <rv s="7">
    <v>12</v>
    <v>OCEAN POWER TECHNOLOGIES, INC. (XNYS:OPTT)</v>
    <v>6</v>
    <v>13</v>
    <v>Finance</v>
    <v>4</v>
    <v>en-US</v>
    <v>a1zaqh</v>
    <v>268435456</v>
    <v>1</v>
    <v>Powered by Refinitiv</v>
    <v>21.6</v>
    <v>1.75</v>
    <v>2.6956000000000002</v>
    <v>0.08</v>
    <v>3.7735999999999999E-2</v>
    <v>-0.08</v>
    <v>-3.6364E-2</v>
    <v>USD</v>
    <v>Ocean Power Technologies, Inc. provides ocean data collection and reporting, marine power, offshore communications and domain awareness services products, and integrated solutions. The Company focuses on three major service areas: Data as a Service (DaaS), which includes data collected by its Wave Adaptive Modular Vessel (WAM-V) autonomous vehicles or its PowerBuoy product lines; Robotics as a Service (RaaS), which provides a lower cost subscription model for its customers to access use of its WAM-Vs, and Power as a Service (PaaS), which includes its PowerBuoy and subsea battery products. The Company's solutions are primarily suited to ocean and other offshore environments, and support generation of actionable intelligence on a standalone basis. The Company offers its products and services to a wide range of customers, including those in government and offshore energy, oil and gas, construction, science and research, wind power, and other industries.</v>
    <v>65</v>
    <v>New York Stock Exchange</v>
    <v>XNYS</v>
    <v>XNYS</v>
    <v>28 Engelhard Drive, STE B, MONROE TOWNSHIP, NJ, 08831 US</v>
    <v>2.2200000000000002</v>
    <v>Renewable Energy</v>
    <v>Stock</v>
    <v>46289.000000682812</v>
    <v>381</v>
    <v>2.0137</v>
    <v>19810186</v>
    <v>OCEAN POWER TECHNOLOGIES, INC.</v>
    <v>OCEAN POWER TECHNOLOGIES, INC.</v>
    <v>2.1</v>
    <v>2.12</v>
    <v>2.2000000000000002</v>
    <v>2.12</v>
    <v>9004630</v>
    <v>OPTT</v>
    <v>OCEAN POWER TECHNOLOGIES, INC. (XNYS:OPTT)</v>
    <v>222561</v>
    <v>352383</v>
    <v>2007</v>
  </rv>
  <rv s="1">
    <v>382</v>
  </rv>
  <rv s="27">
    <v>60</v>
    <v>ReVolve Renewable Power Corp. (NEOE:REVV)</v>
    <v>2</v>
    <v>61</v>
    <v>Finance</v>
    <v>19</v>
    <v>en-US</v>
    <v>cduizr</v>
    <v>268435456</v>
    <v>1</v>
    <v>Powered by Refinitiv</v>
    <v>0.19500000000000001</v>
    <v>0.14000000000000001</v>
    <v>0.98499999999999999</v>
    <v>2.5000000000000001E-2</v>
    <v>0.16129000000000002</v>
    <v>CAD</v>
    <v>Revolve Renewable Power Corp. is a Canada-based owner, operator and developer of renewable energy projects in North America with a focus on wind, solar, hydro and battery storage technologies. Its business units include utility scale assets and distributed generation. The Company’s portfolio includes operating assets and development. Its operating assets include 12 megawatts (MW) (net) of operating assets under long-term power purchase agreements across Canada and Mexico covering wind, solar, battery storage and hydro generation. Its development portfolio includes a utility scale development project across the United States, Canada and Mexico with a combined capacity of over 3,000MW as well as a 140MW+ distributed generation portfolio that is under development. Its project portfolio includes VERNAL BESS Phase 1 - US, Primus Wind Project - US, VERNAL BESS Phase 2 - US, El 24 Wind Project - Mexico, El Mentillo Wind Project - Mexico, BRIGHT MEADOWS - Canada, SASK 1 - Canada, and others.</v>
    <v>NEO Exchange</v>
    <v>NEOE</v>
    <v>NEOE</v>
    <v>2200-700 W. Georgia Street, VANCOUVER, BC, V7Y 1K8 CA</v>
    <v>0.18</v>
    <v>Electrical Utilities &amp; IPPs</v>
    <v>Stock</v>
    <v>46059.856781793751</v>
    <v>0.16500000000000001</v>
    <v>15090474</v>
    <v>ReVolve Renewable Power Corp.</v>
    <v>ReVolve Renewable Power Corp.</v>
    <v>0.17499999999999999</v>
    <v>0.155</v>
    <v>0.18</v>
    <v>83835970</v>
    <v>REVV</v>
    <v>ReVolve Renewable Power Corp. (NEOE:REVV)</v>
    <v>230</v>
    <v>342980</v>
    <v>2018</v>
  </rv>
  <rv s="1">
    <v>384</v>
  </rv>
  <rv s="2">
    <v>https://www.bing.com/financeapi/forcetrigger?t=axx8c7&amp;q=XTSX%3aSOLR&amp;form=skydnc</v>
    <v>Learn more on Bing</v>
  </rv>
  <rv s="28">
    <v>62</v>
    <v>SOLAR ALLIANCE ENERGY INC. (XTSX:SOLR)</v>
    <v>6</v>
    <v>63</v>
    <v>Finance</v>
    <v>32</v>
    <v>en-US</v>
    <v>axx8c7</v>
    <v>268435456</v>
    <v>1</v>
    <v>Powered by Refinitiv</v>
    <v>2.5000000000000001E-2</v>
    <v>5.0000000000000001E-3</v>
    <v>0.873</v>
    <v>0</v>
    <v>0</v>
    <v>CAD</v>
    <v>Solar Alliance Energy Inc. is a Canada-based energy solutions provider focused on the commercial, utility and community solar sectors. The Company is focused on commercial and industrial customers for solar photovoltaic (PV) system sales and installations. It designs engineers and installs commercial solar systems ranging from one to five megawatts. The Company is engaged in offering energy monitoring, energy storage, backup power and microgrid systems. Its Commercial Solar includes Electric Bill Savings, Utility/Community Solar, Rural Energy Grants, and Builder Sunbox Systems. Its Builder Sunbox Systems include solar panels, optional battery storage, an inverter, optimizers and racking for a complete solar solution.</v>
    <v>24</v>
    <v>TSX Venture Exchange</v>
    <v>XTSX</v>
    <v>XTSX</v>
    <v>1111 Melville Street, Suite 620, VANCOUVER, BC, V6E 3V6 CA</v>
    <v>0.01</v>
    <v>Construction &amp; Engineering</v>
    <v>Stock</v>
    <v>46147.753460648149</v>
    <v>386</v>
    <v>5.0000000000000001E-3</v>
    <v>2951939</v>
    <v>SOLAR ALLIANCE ENERGY INC.</v>
    <v>SOLAR ALLIANCE ENERGY INC.</v>
    <v>5.0000000000000001E-3</v>
    <v>0</v>
    <v>0.01</v>
    <v>0.01</v>
    <v>295193900</v>
    <v>SOLR</v>
    <v>SOLAR ALLIANCE ENERGY INC. (XTSX:SOLR)</v>
    <v>159702</v>
    <v>2017</v>
  </rv>
  <rv s="1">
    <v>387</v>
  </rv>
  <rv s="2">
    <v>https://www.bing.com/financeapi/forcetrigger?t=a2a3zr&amp;q=OTCM%3aBLSP&amp;form=skydnc</v>
    <v>Learn more on Bing</v>
  </rv>
  <rv s="16">
    <v>35</v>
    <v>BLUE SPHERE CORPORATION (OTCM:BLSP)</v>
    <v>6</v>
    <v>36</v>
    <v>Finance</v>
    <v>24</v>
    <v>en-US</v>
    <v>a2a3zr</v>
    <v>268435456</v>
    <v>1</v>
    <v>Powered by Refinitiv</v>
    <v>1.4E-3</v>
    <v>9.9999999999999995E-7</v>
    <v>0</v>
    <v>0</v>
    <v>USD</v>
    <v>Blue Sphere Corporation is an international independent power producer. The Company focuses on developing or acquiring projects with clean energy technologies, including waste-to-energy facilities that generate clean energy, such as electricity, natural gas, heat, soil amendment and other by-products. It is engaged in developing, constructing or operating approximately 20 projects related to its strategy of acquisition, development or operations of waste-to-energy or clean-tech facilities, which includes developing projects for which it has entered into nonbinding letters of intent to acquire additional biogas facilities in Italy and to develop and construct waste-to-energy or clean-tech facilities in the United States, the Netherlands, the United Kingdom and Israel. The Company is focused on several types of projects: anaerobic digestion to electricity, landfill gas to energy, anaerobic digestion to gas, gasification, incineration and energy crop to electricity.</v>
    <v>0</v>
    <v>OTC Markets</v>
    <v>OTCM</v>
    <v>OTCM</v>
    <v>301 McCullough Drive, 4th Floor, CHARLOTTE, NC, 28262 US</v>
    <v>5.0000000000000001E-4</v>
    <v>Electrical Utilities &amp; IPPs</v>
    <v>Stock</v>
    <v>46288.811155277341</v>
    <v>389</v>
    <v>9.9999999999999995E-7</v>
    <v>2122310</v>
    <v>BLUE SPHERE CORPORATION</v>
    <v>BLUE SPHERE CORPORATION</v>
    <v>9.9999999999999995E-7</v>
    <v>0</v>
    <v>4.0000000000000002E-4</v>
    <v>4.0000000000000002E-4</v>
    <v>5305775000</v>
    <v>BLSP</v>
    <v>BLUE SPHERE CORPORATION (OTCM:BLSP)</v>
    <v>6358938</v>
    <v>3620070</v>
    <v>2007</v>
  </rv>
  <rv s="1">
    <v>390</v>
  </rv>
  <rv s="2">
    <v>https://www.bing.com/financeapi/forcetrigger?t=a2brrw&amp;q=OTCM%3aCGEI&amp;form=skydnc</v>
    <v>Learn more on Bing</v>
  </rv>
  <rv s="29">
    <v>64</v>
    <v>CGE ENERGY, INC. (OTCM:CGEI)</v>
    <v>6</v>
    <v>59</v>
    <v>Finance</v>
    <v>24</v>
    <v>en-US</v>
    <v>a2brrw</v>
    <v>268435456</v>
    <v>1</v>
    <v>Powered by Refinitiv</v>
    <v>4.02E-2</v>
    <v>9.9999999999999995E-7</v>
    <v>0</v>
    <v>0</v>
    <v>USD</v>
    <v>CGE Energy, Inc. is a holding company for its two subsidiaries, Aradatum, Inc. and Clean Green Energy, Inc. (CGE). Aradatum, Inc. is a technology company, which created a self-powered macro cell tower that gives wireless pioneers and mobile and virtual network operators access to unreached and strategic locations needed to optimize their advanced applications of fifth generation, fixed wireless access, Citizens Broadband Radio Service, neutral host, private networks, and edge computing. CGE develops long-term energy projects. CGE’s services include energy efficiency, renewable energy, ongoing maintenance, energy independence and energy supply stability. CGE’s services are offered under proprietary business models, such as the CGE Sustain program and leasing arrangements. CGE’s installations include solar panels, combined heat and power generators, CGE’s proprietary vertical-axis wind turbine, energy storage, light-emitting diode lighting, heating and cooling systems, and others.</v>
    <v>OTC Markets</v>
    <v>OTCM</v>
    <v>OTCM</v>
    <v>7627 Park Place, MI, 48116 US</v>
    <v>2.0000000000000001E-4</v>
    <v>Stock</v>
    <v>46280.006944444445</v>
    <v>392</v>
    <v>2.0000000000000001E-4</v>
    <v>CGE ENERGY, INC.</v>
    <v>CGE ENERGY, INC.</v>
    <v>2.0000000000000001E-4</v>
    <v>0</v>
    <v>2.0000000000000001E-4</v>
    <v>2.0000000000000001E-4</v>
    <v>CGEI</v>
    <v>CGE ENERGY, INC. (OTCM:CGEI)</v>
    <v>2681</v>
  </rv>
  <rv s="1">
    <v>393</v>
  </rv>
  <rv s="2">
    <v>https://www.bing.com/financeapi/forcetrigger?t=a1rqz2&amp;q=XNAS%3aEFOI&amp;form=skydnc</v>
    <v>Learn more on Bing</v>
  </rv>
  <rv s="3">
    <v>5</v>
    <v>ENERGY FOCUS, INC. (XNAS:EFOI)</v>
    <v>6</v>
    <v>3</v>
    <v>Finance</v>
    <v>4</v>
    <v>en-US</v>
    <v>a1rqz2</v>
    <v>268435456</v>
    <v>1</v>
    <v>Powered by Refinitiv</v>
    <v>9.84</v>
    <v>1.66</v>
    <v>2.1806000000000001</v>
    <v>-0.03</v>
    <v>-1.1193999999999999E-2</v>
    <v>-0.01</v>
    <v>-3.774E-3</v>
    <v>USD</v>
    <v>Energy Focus, Inc. is a provider of sustainable light-emitting diode (LED) lighting and lighting control technologies and solutions. The Company develops, markets and sells LED lighting and controls products in the commercial market and military maritime market (MMM). It develops LED lighting products and controls that provide extensive energy and maintenance savings, as well as aesthetics, safety, health and sustainability benefits over conventional lighting. It specializes in LED lighting retrofit by replacing fluorescent, high-intensity discharge lighting and other types of lamps in institutional buildings for primarily indoor lighting applications with its commercial and military-grade tubular LED (TLED) products, as well as other LED and lighting control products for commercial applications. The Company is also evaluating adjacent technologies including Gallium Nitride (GaN)-based power supplies and additional market opportunities for energy solution products.</v>
    <v>8</v>
    <v>Nasdaq Stock Market</v>
    <v>XNAS</v>
    <v>XNAS</v>
    <v>32000 Aurora Road, SOLON, OH, 44139 US</v>
    <v>2.7999000000000001</v>
    <v>Homebuilding &amp; Construction Supplies</v>
    <v>Stock</v>
    <v>46288.979234767969</v>
    <v>395</v>
    <v>2.61</v>
    <v>16878433</v>
    <v>ENERGY FOCUS, INC.</v>
    <v>ENERGY FOCUS, INC.</v>
    <v>2.7</v>
    <v>0</v>
    <v>2.68</v>
    <v>2.65</v>
    <v>2.64</v>
    <v>6369220</v>
    <v>EFOI</v>
    <v>ENERGY FOCUS, INC. (XNAS:EFOI)</v>
    <v>36074</v>
    <v>9639</v>
    <v>2007</v>
  </rv>
  <rv s="1">
    <v>396</v>
  </rv>
  <rv s="2">
    <v>https://www.bing.com/financeapi/forcetrigger?t=bpucur&amp;q=XNYS%3aHYLN&amp;form=skydnc</v>
    <v>Learn more on Bing</v>
  </rv>
  <rv s="7">
    <v>12</v>
    <v>HYLIION HOLDINGS CORP. (XNYS:HYLN)</v>
    <v>6</v>
    <v>13</v>
    <v>Finance</v>
    <v>4</v>
    <v>en-US</v>
    <v>bpucur</v>
    <v>268435456</v>
    <v>1</v>
    <v>Powered by Refinitiv</v>
    <v>8.49</v>
    <v>1.5601</v>
    <v>3.5992999999999999</v>
    <v>-0.33</v>
    <v>-7.3826000000000003E-2</v>
    <v>7.0000000000000007E-2</v>
    <v>1.6907999999999999E-2</v>
    <v>USD</v>
    <v>Hyliion Holdings Corp. designs and develops power generators for stationary and mobile applications and provides research and development (R&amp;D) services. The Company is focused on providing distributed power generators that can operate on various fuel sources. It is addressing the commercial and industrial sectors with a locally deployable generator designed to meet a range of power generation needs. Its product offering, KARNO generator, is a fuel-agnostic power generating solution. KARNO generator leverages a thermal converter coupled to a linear generator to produce electricity. KARNO generators enable effective distributed power generation using a wide range of fuel sources, including conventional fuels, waste fuels such as landfill gas, wellhead gas, and zero carbon fuels such as renewable hydrogen and ammonia. It also focuses on scaling up its generator solutions to address larger utility-scale power needs and to develop variants for household use and e-mobility applications.</v>
    <v>113</v>
    <v>New York Stock Exchange</v>
    <v>XNYS</v>
    <v>XNYS</v>
    <v>1202 BMC DRIVE, SUITE 100, CEDAR PARK, TX, 78613 US</v>
    <v>4.53</v>
    <v>Machinery, Equipment &amp; Components</v>
    <v>Stock</v>
    <v>46289.000000242966</v>
    <v>398</v>
    <v>4.1349999999999998</v>
    <v>739392408</v>
    <v>HYLIION HOLDINGS CORP.</v>
    <v>HYLIION HOLDINGS CORP.</v>
    <v>4.49</v>
    <v>4.47</v>
    <v>4.1399999999999997</v>
    <v>4.21</v>
    <v>178597200</v>
    <v>HYLN</v>
    <v>HYLIION HOLDINGS CORP. (XNYS:HYLN)</v>
    <v>2155876</v>
    <v>2053587</v>
    <v>2018</v>
  </rv>
  <rv s="1">
    <v>399</v>
  </rv>
  <rv s="2">
    <v>https://www.bing.com/financeapi/forcetrigger?t=bpt9z2&amp;q=XTSX%3aBOLD.P&amp;form=skydnc</v>
    <v>Learn more on Bing</v>
  </rv>
  <rv s="30">
    <v>65</v>
    <v>Stardust Solar Energy Inc. (XTSX:SUN)</v>
    <v>6</v>
    <v>66</v>
    <v>Finance</v>
    <v>32</v>
    <v>en-US</v>
    <v>bpt9z2</v>
    <v>268435456</v>
    <v>1</v>
    <v>Powered by Refinitiv</v>
    <v>0.15</v>
    <v>0.04</v>
    <v>0</v>
    <v>0</v>
    <v>CAD</v>
    <v>Stardust Solar Energy Inc is a Canada-based company. The Company is a franchisor of renewable energy installation services, including solar panels photovoltaic (PV), energy storage systems, and electric vehicle supply equipment. It lends its brand and business management services to entrepreneurs looking to enter the industry of renewable energies. The Company franchisees install and maintain clean energy systems for residential and commercial purposes. As a franchisor, it supplies its franchisees with the products, such as solar PV equipment, energy storage equipment, and electric vehicle supply equipment. As well, the Company supports its franchisees with many services from including marketing, sales, engineering, plan sets, customer service, and project management.</v>
    <v>TSX Venture Exchange</v>
    <v>XTSX</v>
    <v>XTSX</v>
    <v>B101 - 9000 Bill Fox Way, BURNABY, BC, V5J 5J3 CA</v>
    <v>4.4999999999999998E-2</v>
    <v>Renewable Energy</v>
    <v>Stock</v>
    <v>46288.736388888887</v>
    <v>401</v>
    <v>4.4999999999999998E-2</v>
    <v>4985712</v>
    <v>Stardust Solar Energy Inc.</v>
    <v>Stardust Solar Energy Inc.</v>
    <v>4.4999999999999998E-2</v>
    <v>0</v>
    <v>4.4999999999999998E-2</v>
    <v>4.4999999999999998E-2</v>
    <v>110793600</v>
    <v>SUN</v>
    <v>Stardust Solar Energy Inc. (XTSX:SUN)</v>
    <v>81000</v>
    <v>26370</v>
    <v>2018</v>
  </rv>
  <rv s="1">
    <v>402</v>
  </rv>
  <rv s="2">
    <v>https://www.bing.com/financeapi/forcetrigger?t=boh5oc&amp;q=XNAS%3aADN&amp;form=skydnc</v>
    <v>Learn more on Bing</v>
  </rv>
  <rv s="31">
    <v>67</v>
    <v>ADVENT TECHNOLOGIES HOLDINGS, INC. (OTCM:ADNH)</v>
    <v>6</v>
    <v>68</v>
    <v>Finance</v>
    <v>69</v>
    <v>en-US</v>
    <v>boh5oc</v>
    <v>268435456</v>
    <v>1</v>
    <v>Powered by Refinitiv</v>
    <v>3.9899</v>
    <v>2.0000000000000001E-4</v>
    <v>1.0608</v>
    <v>0</v>
    <v>0</v>
    <v>USD</v>
    <v>Advent Technologies Holdings, Inc. is an advanced materials and technology development company operating in the fuel cell and hydrogen technology space, including liquid hydrogen carriers such as methanol. The Company develops, manufactures, and assembles complete fuel cell systems as well as supplying customers with critical components for fuel cells in the renewable energy sector. Its core product offerings are full fuel cell systems and the Membrane Electrode Assembly (MEA) at the center of the fuel cell. The Company develops and manufactures high-temperature proton exchange membranes (HT-PEM or HT-PEMs) and fuel cell systems for the off-grid and portable power markets and plans to expand into the mobility market. It holds the IP for next generation HT-PEM that enables various fuels to function at high temperatures and under extreme conditions, suitable for the automotive, aviation, defense, oil and gas, marine, and power generation sectors.</v>
    <v>26</v>
    <v>OTC Markets</v>
    <v>OTCM</v>
    <v>OTCM</v>
    <v>5637 La Ribera St, Suite A,, LIVERMORE, CA, 94550 US</v>
    <v>2.9999999999999997E-4</v>
    <v>Renewable Energy</v>
    <v>Stock</v>
    <v>46288.006944444445</v>
    <v>404</v>
    <v>2.0000000000000001E-4</v>
    <v>1136</v>
    <v>ADVENT TECHNOLOGIES HOLDINGS, INC.</v>
    <v>ADVENT TECHNOLOGIES HOLDINGS, INC.</v>
    <v>2.0000000000000001E-4</v>
    <v>0</v>
    <v>2.9999999999999997E-4</v>
    <v>2.9999999999999997E-4</v>
    <v>2.0000000000000001E-4</v>
    <v>3788630</v>
    <v>ADNH</v>
    <v>ADVENT TECHNOLOGIES HOLDINGS, INC. (OTCM:ADNH)</v>
    <v>8</v>
    <v>167334</v>
    <v>2018</v>
  </rv>
  <rv s="1">
    <v>405</v>
  </rv>
  <rv s="2">
    <v>https://www.bing.com/financeapi/forcetrigger?t=a2d24c&amp;q=OTCM%3aCPWR&amp;form=skydnc</v>
    <v>Learn more on Bing</v>
  </rv>
  <rv s="16">
    <v>35</v>
    <v>OCEAN THERMAL ENERGY CORPORATION (OTCM:CPWR)</v>
    <v>6</v>
    <v>36</v>
    <v>Finance</v>
    <v>24</v>
    <v>en-US</v>
    <v>a2d24c</v>
    <v>268435456</v>
    <v>1</v>
    <v>Powered by Refinitiv</v>
    <v>2.1999999999999999E-2</v>
    <v>1E-4</v>
    <v>0</v>
    <v>0</v>
    <v>USD</v>
    <v>Ocean Thermal Energy Corporation uses its proprietary technology to develop designs for renewable energy systems, primarily for Ocean Thermal Energy Conversion (OTEC), Seawater Air Conditioning (SWAC), and Lake Source Cooling (LSC) systems. Its geographical markets are tropical and subtropical regions of the world for OTEC, SWAC, and LSC, and worldwide markets for SWAC and LSC. It intends to develop projects for renewable power generation, desalinated water production, and air conditioning using its proprietary technologies designed to extract energy from the temperature differences between warm surface water and cold deep water. Its projects provide ancillary products such as potable/bottled water and aquaculture, mariculture, and agriculture opportunities. It is developing a project in the South Pacific under a contract with the United States Department of Defense. Its project pipeline includes commercial engagements in the Caribbean and Southeast Asia, including India and Indonesia.</v>
    <v>2</v>
    <v>OTC Markets</v>
    <v>OTCM</v>
    <v>OTCM</v>
    <v>3675 Market Street, Suite 200, PHILADELPHIA, PA, 19104 US</v>
    <v>4.1999999999999997E-3</v>
    <v>Renewable Energy</v>
    <v>Stock</v>
    <v>46288.006944444445</v>
    <v>407</v>
    <v>2.7000000000000001E-3</v>
    <v>760048</v>
    <v>OCEAN THERMAL ENERGY CORPORATION</v>
    <v>OCEAN THERMAL ENERGY CORPORATION</v>
    <v>4.1999999999999997E-3</v>
    <v>0.3044</v>
    <v>4.0000000000000001E-3</v>
    <v>4.0000000000000001E-3</v>
    <v>190012100</v>
    <v>CPWR</v>
    <v>OCEAN THERMAL ENERGY CORPORATION (OTCM:CPWR)</v>
    <v>86480</v>
    <v>88340</v>
    <v>2006</v>
  </rv>
  <rv s="1">
    <v>408</v>
  </rv>
  <rv s="2">
    <v>https://www.bing.com/financeapi/forcetrigger?t=a2dhdm&amp;q=OTCM%3aCTCC&amp;form=skydnc</v>
    <v>Learn more on Bing</v>
  </rv>
  <rv s="13">
    <v>28</v>
    <v>CITY CAPITAL CORPORATION (OTCM:CTCC)</v>
    <v>6</v>
    <v>29</v>
    <v>Finance</v>
    <v>24</v>
    <v>en-US</v>
    <v>a2dhdm</v>
    <v>268435456</v>
    <v>1</v>
    <v>Powered by Refinitiv</v>
    <v>9.9999999999999995E-7</v>
    <v>9.9999999999999995E-7</v>
    <v>0</v>
    <v>0</v>
    <v>USD</v>
    <v>City Capital Corporation (3C) is a merchant bank. The Bank offers products and services to both corporate and investor clients. 3C focuses on the mid-cap market, which consists of companies with a market valuation. The Company operates merchant banking platform comprising of ten business lines covering Equity Capital Markets (both private and public), M&amp;A and Advisory, Securities and Broking, Asset Management through specialist hedge funds, and Property. These products provide services, such as Deal Management, Book building and Pricing, Valuation, Bid Strategy, Client Relationships, Investment Advice, and Equity and Debt Financing, among others.</v>
    <v>28</v>
    <v>OTC Markets</v>
    <v>OTCM</v>
    <v>OTCM</v>
    <v>3395 W. Cheyenne Ave #111, NORTH LAS VEGAS, NV, 89032-8210 US</v>
    <v>9.9999999999999995E-7</v>
    <v>Real Estate Operations</v>
    <v>Stock</v>
    <v>46231.006944444445</v>
    <v>410</v>
    <v>9.9999999999999995E-7</v>
    <v>95</v>
    <v>CITY CAPITAL CORPORATION</v>
    <v>CITY CAPITAL CORPORATION</v>
    <v>9.9999999999999995E-7</v>
    <v>0</v>
    <v>9.9999999999999995E-7</v>
    <v>9.9999999999999995E-7</v>
    <v>95999960</v>
    <v>CTCC</v>
    <v>CITY CAPITAL CORPORATION (OTCM:CTCC)</v>
    <v>954900</v>
    <v>1984</v>
  </rv>
  <rv s="1">
    <v>411</v>
  </rv>
  <rv s="2">
    <v>https://www.bing.com/financeapi/forcetrigger?t=bh3izr&amp;q=XTSX%3aCBLU&amp;form=skydnc</v>
    <v>Learn more on Bing</v>
  </rv>
  <rv s="21">
    <v>45</v>
    <v>Clear Blue Technologies International Inc. (XTSX:CBLU)</v>
    <v>6</v>
    <v>70</v>
    <v>Finance</v>
    <v>32</v>
    <v>en-US</v>
    <v>bh3izr</v>
    <v>268435456</v>
    <v>1</v>
    <v>Powered by Refinitiv</v>
    <v>8.5000000000000006E-2</v>
    <v>0.03</v>
    <v>0.4909</v>
    <v>0</v>
    <v>0</v>
    <v>CAD</v>
    <v>Clear Blue Technologies International Inc. is a Canada-based smart off-grid company. The Company is engaged in the business of developing and selling Smart Off-Grid power solutions and management services to power, control, monitor, manage, and proactively service solar and hybrid-powered systems, such as streetlights, security systems, telecommunications systems, emergency power, and Internet of things (IoT) devices. Its Smart Power system includes a solar or solar-hybrid controller, a built-in communications network, and Illumience. Illumience is the Company’s Smart Power cloud application and management service, delivering remote control, management, and proactive servicing of off-grid systems. Its solutions include lighting controls, hardware components, energy management, installation &amp; remote troubleshooting, illumience cloud control, and integrated communications. Its Smart Off-Grid power systems are in 45 countries around the world.</v>
    <v>TSX Venture Exchange</v>
    <v>XTSX</v>
    <v>XTSX</v>
    <v>#7-30 Lesmill Rd, ON, M3B 2T6 CA</v>
    <v>0.05</v>
    <v>Renewable Energy</v>
    <v>Stock</v>
    <v>46287.700914351852</v>
    <v>413</v>
    <v>4.4999999999999998E-2</v>
    <v>4528615</v>
    <v>Clear Blue Technologies International Inc.</v>
    <v>Clear Blue Technologies International Inc.</v>
    <v>0.05</v>
    <v>0</v>
    <v>4.4999999999999998E-2</v>
    <v>4.4999999999999998E-2</v>
    <v>100635900</v>
    <v>CBLU</v>
    <v>Clear Blue Technologies International Inc. (XTSX:CBLU)</v>
    <v>92</v>
    <v>59780</v>
    <v>2018</v>
  </rv>
  <rv s="1">
    <v>414</v>
  </rv>
  <rv s="27">
    <v>60</v>
    <v>Braille Energy Systems Inc. (NEOE:BES)</v>
    <v>2</v>
    <v>61</v>
    <v>Finance</v>
    <v>19</v>
    <v>en-US</v>
    <v>cdo44c</v>
    <v>268435456</v>
    <v>1</v>
    <v>Powered by Refinitiv</v>
    <v>0.1</v>
    <v>0.03</v>
    <v>1.3294999999999999</v>
    <v>0</v>
    <v>0</v>
    <v>CAD</v>
    <v>Braille Energy Systems Inc. holds an 89.95% equity interest in Braille Holdings Inc., which holds a 100% equity interest in Braille Battery Inc. Braille Battery is a battery-manufacturing and energy storage company supplying batteries to the professional motor sports industry and offers a complete line of lightweight high-powered battery systems for the transportation market. It manufactures its own lithium-ion battery line and distributes a full multi-level line of batteries and accessories pre-assembled by a network of suppliers. It helps with battery containment using composite technologies; thermal management, high amperage solutions, high vibration designs, novel battery chemistries, battery controls, and dual-use chemistries. Braille Battery's manufacturing facility houses management offices, design and engineering, research and development, manufacturing, logistics and fulfillment. Its AGM brands include Micro-lite, Green-lite, Intensity, Intensity Carbon, and Fleet-lite.</v>
    <v>NEO Exchange</v>
    <v>NEOE</v>
    <v>NEOE</v>
    <v>945 Princess Street, Box 117, ON, K7L 0E9 CA</v>
    <v>0.03</v>
    <v>Automobiles &amp; Auto Parts</v>
    <v>Stock</v>
    <v>46274.647518668753</v>
    <v>0.03</v>
    <v>3517296</v>
    <v>Braille Energy Systems Inc.</v>
    <v>Braille Energy Systems Inc.</v>
    <v>0.03</v>
    <v>0.03</v>
    <v>0.03</v>
    <v>117243200</v>
    <v>BES</v>
    <v>Braille Energy Systems Inc. (NEOE:BES)</v>
    <v>100</v>
    <v>38470</v>
    <v>2011</v>
  </rv>
  <rv s="1">
    <v>416</v>
  </rv>
  <rv s="2">
    <v>https://www.bing.com/financeapi/forcetrigger?t=bhb277&amp;q=OTCM%3aIXEH&amp;form=skydnc</v>
    <v>Learn more on Bing</v>
  </rv>
  <rv s="32">
    <v>71</v>
    <v>IX ENERGY HOLDINGS, INC. (OTCM:IXEH)</v>
    <v>6</v>
    <v>72</v>
    <v>Finance</v>
    <v>57</v>
    <v>en-US</v>
    <v>bhb277</v>
    <v>268435456</v>
    <v>1</v>
    <v>Powered by Refinitiv</v>
    <v>8.0000000000000007E-5</v>
    <v>9.9999999999999995E-7</v>
    <v>-7.8999999999999996E-5</v>
    <v>USD</v>
    <v>IX Energy Holdings, Inc., formerly Yoo Inc. is engaged in development and financing of solar power and other renewable energy solutions systems. The Company was previously engaged in marketing and selling natural energy drink derived from coconut water to distributors of soft drinks in Israel.</v>
    <v>3</v>
    <v>OTC Markets</v>
    <v>OTCM</v>
    <v>OTCM</v>
    <v>711 Third Avenue, Suite1505, NEW YORK, NY, 10017-4014 US</v>
    <v>9.9999999999999995E-7</v>
    <v>Machinery, Equipment &amp; Components</v>
    <v>Stock</v>
    <v>46189.006944444445</v>
    <v>418</v>
    <v>9.9999999999999995E-7</v>
    <v>70</v>
    <v>IX ENERGY HOLDINGS, INC.</v>
    <v>IX ENERGY HOLDINGS, INC.</v>
    <v>9.9999999999999995E-7</v>
    <v>0</v>
    <v>8.0000000000000007E-5</v>
    <v>9.9999999999999995E-7</v>
    <v>70443140</v>
    <v>IXEH</v>
    <v>IX ENERGY HOLDINGS, INC. (OTCM:IXEH)</v>
    <v>15000</v>
    <v>2009</v>
  </rv>
  <rv s="1">
    <v>419</v>
  </rv>
  <rv s="24">
    <v>53</v>
    <v>HYBRID POWER SOLUTIONS INC. (NEOE:HPSS)</v>
    <v>2</v>
    <v>54</v>
    <v>Finance</v>
    <v>19</v>
    <v>en-US</v>
    <v>cdrrcw</v>
    <v>268435456</v>
    <v>1</v>
    <v>Powered by Refinitiv</v>
    <v>0.09</v>
    <v>0.04</v>
    <v>-0.01</v>
    <v>-0.15384600000000001</v>
    <v>CAD</v>
    <v>Hybrid Power Solutions Inc. is a Canadian clean energy company, which specializes in producing, developing and installing direct-to-consumer clean technology products, such as portable power packs and stationary energy storage. Its business segments include Consumer Branded Products, Franchised Solar Installation Services,and Custom OEM Solutions. It designs and manufactures patent pending portable battery systems and customized energy solutions for industrial markets, including the mining, railway, public transit and construction sectors. The Company, through its wholly owned subsidiary, HPS Solar Inc., introduced a franchise network of solar power installers that operate under the Company’s trademark and offer the sale and installation of the Company’s products. Its products include Batt Pack Energy, Batt Pack Pro, Batt Pack Jupiter, TERRA MicroGrid 150kW and Batt Pack Spark. It also offers reliable, solar and backup power systems with turnkey solar installation services.</v>
    <v>24</v>
    <v>NEO Exchange</v>
    <v>NEOE</v>
    <v>NEOE</v>
    <v>208 - 333 Terminal Avenue, VANCOUVER, BC, V6A 4C1 CA</v>
    <v>5.5E-2</v>
    <v>Machinery, Equipment &amp; Components</v>
    <v>Stock</v>
    <v>46279.721986296092</v>
    <v>5.5E-2</v>
    <v>7802844</v>
    <v>HYBRID POWER SOLUTIONS INC.</v>
    <v>HYBRID POWER SOLUTIONS INC.</v>
    <v>5.5E-2</v>
    <v>6.5000000000000002E-2</v>
    <v>5.5E-2</v>
    <v>141869900</v>
    <v>HPSS</v>
    <v>HYBRID POWER SOLUTIONS INC. (NEOE:HPSS)</v>
    <v>1000</v>
    <v>423710</v>
    <v>2022</v>
  </rv>
  <rv s="1">
    <v>421</v>
  </rv>
  <rv s="27">
    <v>60</v>
    <v>SPARQ SYSTEMS INC (NEOE:SPRQ)</v>
    <v>2</v>
    <v>61</v>
    <v>Finance</v>
    <v>19</v>
    <v>en-US</v>
    <v>cdv8qh</v>
    <v>268435456</v>
    <v>1</v>
    <v>Powered by Refinitiv</v>
    <v>1.43</v>
    <v>0.6</v>
    <v>-0.56379999999999997</v>
    <v>-7.0000000000000007E-2</v>
    <v>-6.3063000000000008E-2</v>
    <v>CAD</v>
    <v>SPARQ Systems Inc. is a Canada-based company, which designs and manufactures single-phase microinverters for residential and commercial solar electric applications. The Company has developed a photovoltaic (PV) solution called the Quad. The Quad inverter optimizes four PV modules with a single microinverter. Its products include Quad Microinverters, SparqLinq, SparqVu, and Accessories. Its Quad Microinverters include the Q2000 microinverter, Q1200 Grid-Tied microinverter and Q1200 Dual Mode microinverter. SparqLinq is a smart interface for the Quad 1200. SparqLinq can be used on nearly any device and is backed by Zigbee wireless communication, providing access to real-time data and historical records. SparqVu is a system performance management system with intuitive displays to help quickly spot system issues and troubleshoot in real time.</v>
    <v>NEO Exchange</v>
    <v>NEOE</v>
    <v>NEOE</v>
    <v>945 Princess Street, Box 212, ON, K7L 0E9 CA</v>
    <v>1.04</v>
    <v>Machinery, Equipment &amp; Components</v>
    <v>Stock</v>
    <v>46258.817912140628</v>
    <v>1.04</v>
    <v>121404504</v>
    <v>SPARQ SYSTEMS INC</v>
    <v>SPARQ SYSTEMS INC</v>
    <v>1.04</v>
    <v>1.1100000000000001</v>
    <v>1.04</v>
    <v>116735100</v>
    <v>SPRQ</v>
    <v>SPARQ SYSTEMS INC (NEOE:SPRQ)</v>
    <v>62</v>
    <v>29060</v>
    <v>2023</v>
  </rv>
  <rv s="1">
    <v>423</v>
  </rv>
  <rv s="2">
    <v>https://www.bing.com/financeapi/forcetrigger?t=bwr43m&amp;q=XNYS%3aGWH&amp;form=skydnc</v>
    <v>Learn more on Bing</v>
  </rv>
  <rv s="7">
    <v>12</v>
    <v>ESS TECH, INC. (XNYS:GWH)</v>
    <v>6</v>
    <v>13</v>
    <v>Finance</v>
    <v>4</v>
    <v>en-US</v>
    <v>bwr43m</v>
    <v>268435456</v>
    <v>1</v>
    <v>Powered by Refinitiv</v>
    <v>13.87</v>
    <v>0.30649999999999999</v>
    <v>1.4202999999999999</v>
    <v>-2.8799999999999999E-2</v>
    <v>-7.2967000000000004E-2</v>
    <v>-5.8999999999999999E-3</v>
    <v>-1.6125E-2</v>
    <v>USD</v>
    <v>ESS Tech, Inc. is a provider of non-lithium energy storage solutions. Through sodium-ion and iron flow battery technologies, it uses predominantly earth-abundant materials to deliver energy storage. It manufactures and assembles battery modules, housings, energy management systems, and other key battery components. Its integrated energy storage solutions consist of Bridge, Horizon, and Command. Bridge is a modular integrated AC sodium-ion battery energy storage system designed for utilities, AI data centers, commercial and industrial facilities, and critical infrastructure. Horizon is an iron flow battery energy storage system. Command is an energy management platform designed to maximize the performance, availability and profitability of battery energy storage systems. The Company serves utilities, independent power producers, commercial, and industrial customers. Its non-lithium systems operate a range of temperatures without complicated HAVAC systems or complex liquid cooling.</v>
    <v>62</v>
    <v>New York Stock Exchange</v>
    <v>XNYS</v>
    <v>XNYS</v>
    <v>26440 Sw Parkway Ave., Bldg. 83, WILSONVILLE, OR, 97070 US</v>
    <v>0.40500000000000003</v>
    <v>Machinery, Equipment &amp; Components</v>
    <v>Stock</v>
    <v>46288.995175635937</v>
    <v>425</v>
    <v>0.35809999999999997</v>
    <v>14736311</v>
    <v>ESS TECH, INC.</v>
    <v>ESS TECH, INC.</v>
    <v>0.4</v>
    <v>0.3947</v>
    <v>0.3659</v>
    <v>0.36</v>
    <v>40274150</v>
    <v>GWH</v>
    <v>ESS TECH, INC. (XNYS:GWH)</v>
    <v>536717</v>
    <v>1079892</v>
    <v>2021</v>
  </rv>
  <rv s="1">
    <v>426</v>
  </rv>
  <rv s="2">
    <v>https://www.bing.com/financeapi/forcetrigger?t=a2w2z2&amp;q=OTCM%3aGNAL&amp;form=skydnc</v>
    <v>Learn more on Bing</v>
  </rv>
  <rv s="16">
    <v>35</v>
    <v>GENERATION ALPHA, INC. (OTCM:GNAL)</v>
    <v>6</v>
    <v>36</v>
    <v>Finance</v>
    <v>24</v>
    <v>en-US</v>
    <v>a2w2z2</v>
    <v>268435456</v>
    <v>1</v>
    <v>Powered by Refinitiv</v>
    <v>1.4E-3</v>
    <v>1E-4</v>
    <v>0</v>
    <v>0</v>
    <v>USD</v>
    <v>Generation Alpha, Inc. is focused on the research, design, development and manufacturing of indoor horticulture lighting, plant nutrient products and ancillary equipment. The Company operates through the manufacture and distribution of its products. The Company is focused on bringing products and solutions to commercial and retail cannabis growers in both the medical and adult-use recreational space in legal markets across the United States. The Company’s product line includes hydroponic resellers/retail and direct-to-consumer/online. The Company’s lighting and nutrient customers include retail stores, distributors and commercial growers in the United States and abroad. Its product line has evolved from digital ballasts to a line of lighting products, including a line of specialty ballasts ranging from 400 watts to 1,000 watts with various features, its Lamp Products, a line of reflectors, lighting accessories and a line of light emitting diode (LED) lighting technologies.</v>
    <v>5</v>
    <v>OTC Markets</v>
    <v>OTCM</v>
    <v>OTCM</v>
    <v>16926 East Keegan Blvd, CARSON, CA, 90746 US</v>
    <v>1E-4</v>
    <v>Homebuilding &amp; Construction Supplies</v>
    <v>Stock</v>
    <v>46283.006944444445</v>
    <v>428</v>
    <v>1E-4</v>
    <v>6061</v>
    <v>GENERATION ALPHA, INC.</v>
    <v>GENERATION ALPHA, INC.</v>
    <v>1E-4</v>
    <v>0</v>
    <v>1E-4</v>
    <v>1E-4</v>
    <v>60610250</v>
    <v>GNAL</v>
    <v>GENERATION ALPHA, INC. (OTCM:GNAL)</v>
    <v>1350</v>
    <v>3540</v>
    <v>2007</v>
  </rv>
  <rv s="1">
    <v>429</v>
  </rv>
  <rv s="2">
    <v>https://www.bing.com/financeapi/forcetrigger?t=a2ys6h&amp;q=OTCM%3aTPII&amp;form=skydnc</v>
    <v>Learn more on Bing</v>
  </rv>
  <rv s="16">
    <v>35</v>
    <v>TRIAD PRO INNOVATORS, INC. (OTCM:TPII)</v>
    <v>6</v>
    <v>36</v>
    <v>Finance</v>
    <v>24</v>
    <v>en-US</v>
    <v>a2ys6h</v>
    <v>268435456</v>
    <v>1</v>
    <v>Powered by Refinitiv</v>
    <v>0.02</v>
    <v>1E-4</v>
    <v>0</v>
    <v>0</v>
    <v>USD</v>
    <v>Triad Pro Innovators, Inc. is a diversified energy company. The Company specializes in renewable energy, battery storage systems and applications. It has developed a device to be utilized in a range of circumstances to store electricity. Its Triad Pro Energy Storage Cell provides power supply to its storage system with operational flexibility. Using its hardware and software solution, its Energy Storage K-Cell can be configured to store energy at a rate limited only by the network providing it, and then release that energy in a regulated way based upon the application which allows for flexibility currently absent in chemical battery-based storage systems. Its technology offers energy storage solutions, scalable for all sizes, ranging from transportation to industrial, off-grid electrical applications. The Company has integrated its Energy Storage Cell across three applications to include a solar-powered golf car, a portable gen-set and a diesel hybrid portable light trailer and tower.</v>
    <v>7</v>
    <v>OTC Markets</v>
    <v>OTCM</v>
    <v>OTCM</v>
    <v>8275 S EASTERN AVE, LAS VEGAS, NV, 89123 US</v>
    <v>1E-4</v>
    <v>Machinery, Equipment &amp; Components</v>
    <v>Stock</v>
    <v>46288.704055485934</v>
    <v>431</v>
    <v>1E-4</v>
    <v>37042</v>
    <v>TRIAD PRO INNOVATORS, INC.</v>
    <v>TRIAD PRO INNOVATORS, INC.</v>
    <v>1E-4</v>
    <v>0</v>
    <v>1E-4</v>
    <v>1E-4</v>
    <v>370425700</v>
    <v>TPII</v>
    <v>TRIAD PRO INNOVATORS, INC. (OTCM:TPII)</v>
    <v>2000</v>
    <v>100</v>
    <v>1994</v>
  </rv>
  <rv s="1">
    <v>432</v>
  </rv>
  <rv s="0">
    <v>0</v>
    <v>POWERDYNE INTERNATIONAL, INC. (OTCM:PWDY)</v>
    <v>2</v>
    <v>3</v>
    <v>Finance</v>
    <v>47</v>
    <v>en-US</v>
    <v>c8q1mw</v>
    <v>268435456</v>
    <v>1</v>
    <v>Powered by Refinitiv</v>
    <v>7.0000000000000001E-3</v>
    <v>1.2999999999999999E-3</v>
    <v>3.1305000000000001</v>
    <v>0</v>
    <v>0</v>
    <v>0</v>
    <v>0</v>
    <v>USD</v>
    <v>Powerdyne International, Inc., operates through its wholly owned subsidiaries, Creative Motion Technology, LLC (CM Tech) and Frame One LLC (Frame One). CM Tech specializes in the design and custom building of industrial servomotors, both brush and brushless motor designs. CM Tech’s market focus is on the niche motor demands for low volume, quality cost-effective motors, which are primarily used in industrial robotics for the semiconductor manufacturing industry. The motors that CM Tech has in production primarily provide the X, Y, and Z axis articulation in factory automation robots. Frame One is a custom picture framing shop located in North Reading, MA. Frame One serves a client base consisting of local schools, colleges, artists' guilds, artists, interior decorators/designers, museums, photographers, art galleries and theaters. It primarily services the Original Equipment Manufacturers (OEM’s) in the semiconductor market. It also provides custom picture framing under Frame One.</v>
    <v>9</v>
    <v>OTC Markets</v>
    <v>OTCM</v>
    <v>OTCM</v>
    <v>45 Main Street, NORTH READING, MA, 01864 US</v>
    <v>2.2000000000000001E-3</v>
    <v>Automobiles &amp; Auto Parts</v>
    <v>Stock</v>
    <v>46289.006944444445</v>
    <v>2.2000000000000001E-3</v>
    <v>4394462</v>
    <v>POWERDYNE INTERNATIONAL, INC.</v>
    <v>POWERDYNE INTERNATIONAL, INC.</v>
    <v>2.2000000000000001E-3</v>
    <v>0</v>
    <v>2.2000000000000001E-3</v>
    <v>2.2000000000000001E-3</v>
    <v>2.2000000000000001E-3</v>
    <v>1997483000</v>
    <v>PWDY</v>
    <v>POWERDYNE INTERNATIONAL, INC. (OTCM:PWDY)</v>
    <v>11008</v>
    <v>516490</v>
    <v>2006</v>
  </rv>
  <rv s="1">
    <v>434</v>
  </rv>
  <rv s="2">
    <v>https://www.bing.com/financeapi/forcetrigger?t=a2e7zr&amp;q=OTCM%3aDGIX&amp;form=skydnc</v>
    <v>Learn more on Bing</v>
  </rv>
  <rv s="16">
    <v>35</v>
    <v>DYNA GROUP INTERNATIONAL, INC. (OTCM:DGIX)</v>
    <v>6</v>
    <v>36</v>
    <v>Finance</v>
    <v>24</v>
    <v>en-US</v>
    <v>a2e7zr</v>
    <v>268435456</v>
    <v>1</v>
    <v>Powered by Refinitiv</v>
    <v>0.86</v>
    <v>0.6</v>
    <v>0</v>
    <v>0</v>
    <v>USD</v>
    <v>Dyna Group International, Inc. is a holding company. The Company conducts all of its business through its wholly owned subsidiary, Great American Products, Ltd. (Great American Products). Great American Products offers a line of consumer products, as well as products for industry, which are used as advertising specialties and premiums, utilizing pewter centrifugally cast in rubber molds. These products include belt buckles, model miniatures, key chains, picture frames, as well as pewter decorated glassware, caps, ceramic ware, stainless steel drinkware, pewter decorated wall and desk decor, and pewter enhanced keepsake boxes. Great American Products are categorized under NFL Products, NBA Products, MLB Products, NHL Products, College Products, Military Products, Gifts &amp; Souvenirs Products, and Custom Products.</v>
    <v>130</v>
    <v>OTC Markets</v>
    <v>OTCM</v>
    <v>OTCM</v>
    <v>1661 S Seguin Ave, NEW BRAUNFELS, TX, 78130 US</v>
    <v>0.83</v>
    <v>Textiles &amp; Apparel</v>
    <v>Stock</v>
    <v>46283.006944444445</v>
    <v>436</v>
    <v>0.81</v>
    <v>6054150</v>
    <v>DYNA GROUP INTERNATIONAL, INC.</v>
    <v>DYNA GROUP INTERNATIONAL, INC.</v>
    <v>0.83</v>
    <v>0</v>
    <v>0.81</v>
    <v>0.81</v>
    <v>7474260</v>
    <v>DGIX</v>
    <v>DYNA GROUP INTERNATIONAL, INC. (OTCM:DGIX)</v>
    <v>33000</v>
    <v>7430</v>
    <v>1986</v>
  </rv>
  <rv s="1">
    <v>437</v>
  </rv>
  <rv s="2">
    <v>https://www.bing.com/financeapi/forcetrigger?t=azk59c&amp;q=OTCM%3aATNE&amp;form=skydnc</v>
    <v>Learn more on Bing</v>
  </rv>
  <rv s="26">
    <v>58</v>
    <v>Alternative Energy Technology Inc (OTCM:ATNE)</v>
    <v>6</v>
    <v>59</v>
    <v>Finance</v>
    <v>24</v>
    <v>en-US</v>
    <v>azk59c</v>
    <v>268435456</v>
    <v>1</v>
    <v>Powered by Refinitiv</v>
    <v>1E-4</v>
    <v>1E-4</v>
    <v>0</v>
    <v>0</v>
    <v>USD</v>
    <v>OTC Markets</v>
    <v>OTCM</v>
    <v>OTCM</v>
    <v>10003 Woodloch Forest Dr Ste 900, SPRING, TX, 77380-1921 US</v>
    <v>1E-4</v>
    <v>Stock</v>
    <v>45939.006944444445</v>
    <v>439</v>
    <v>1E-4</v>
    <v>Alternative Energy Technology Inc</v>
    <v>Alternative Energy Technology Inc</v>
    <v>1E-4</v>
    <v>0</v>
    <v>1E-4</v>
    <v>1E-4</v>
    <v>ATNE</v>
    <v>Alternative Energy Technology Inc (OTCM:ATNE)</v>
    <v>5</v>
  </rv>
  <rv s="1">
    <v>440</v>
  </rv>
  <rv s="2">
    <v>https://www.bing.com/financeapi/forcetrigger?t=a2tp52&amp;q=OTCM%3aRBNW&amp;form=skydnc</v>
    <v>Learn more on Bing</v>
  </rv>
  <rv s="30">
    <v>65</v>
    <v>RENEWABLE ENERGY AND POWER, INC. (OTCM:RBNW)</v>
    <v>6</v>
    <v>73</v>
    <v>Finance</v>
    <v>24</v>
    <v>en-US</v>
    <v>a2tp52</v>
    <v>268435456</v>
    <v>1</v>
    <v>Powered by Refinitiv</v>
    <v>1E-4</v>
    <v>9.9999999999999995E-7</v>
    <v>0</v>
    <v>0</v>
    <v>USD</v>
    <v>Renewable Energy &amp; Power, Inc. (RBNW) is engaged in the business of new and retrofit applications for LED lighting and solar electrical generation. The LED products were designed to lower the use of electrical power, lower maintenance costs for users and extend the useful life of lighting fixtures. The Company through its subsidiaries, Blind Faith Concepts, Inc. and Lust for Life Footwear, L.L.C, operates an apparel business. The subsidiaries are engaged in creating footwear that reflects the pop culture, music and fashion of the era.</v>
    <v>OTC Markets</v>
    <v>OTCM</v>
    <v>OTCM</v>
    <v>6945 Water Pipet, NV, 89084 US</v>
    <v>9.9999999999999995E-7</v>
    <v>Textiles &amp; Apparel</v>
    <v>Stock</v>
    <v>46283.006944444445</v>
    <v>442</v>
    <v>9.9999999999999995E-7</v>
    <v>26236</v>
    <v>RENEWABLE ENERGY AND POWER, INC.</v>
    <v>RENEWABLE ENERGY AND POWER, INC.</v>
    <v>9.9999999999999995E-7</v>
    <v>0</v>
    <v>9.9999999999999995E-7</v>
    <v>9.9999999999999995E-7</v>
    <v>26236410000</v>
    <v>RBNW</v>
    <v>RENEWABLE ENERGY AND POWER, INC. (OTCM:RBNW)</v>
    <v>20310170</v>
    <v>2713540</v>
    <v>2012</v>
  </rv>
  <rv s="1">
    <v>443</v>
  </rv>
  <rv s="2">
    <v>https://www.bing.com/financeapi/forcetrigger?t=a24kar&amp;q=XNAS%3aTSLA&amp;form=skydnc</v>
    <v>Learn more on Bing</v>
  </rv>
  <rv s="3">
    <v>5</v>
    <v>TESLA, INC. (XNAS:TSLA)</v>
    <v>6</v>
    <v>3</v>
    <v>Finance</v>
    <v>4</v>
    <v>en-US</v>
    <v>a24kar</v>
    <v>268435456</v>
    <v>1</v>
    <v>Powered by Refinitiv</v>
    <v>498.83</v>
    <v>297.38</v>
    <v>1.9121999999999999</v>
    <v>1.22</v>
    <v>3.2200000000000002E-3</v>
    <v>1.3899999999999999E-2</v>
    <v>3.6570000000000004E-5</v>
    <v>USD</v>
    <v>Tesla, Inc. designs, develops, manufactures, sells and leases high-performance fully electric vehicles and energy generation and storage systems, and offers services related to its products. Its segments include automotive, and energy generation and storage. The automotive segment includes the design, development, manufacturing, sales and leasing of high-performance fully electric vehicles, and sales of automotive regulatory credits. It also includes sales of used vehicles, non-warranty maintenance services and collisions, part sales, paid supercharging, insurance services revenue and retail merchandise sales. The energy generation and storage segment include the design, manufacture, installation, sales and leasing of solar energy generation and energy storage products and related services and sales of solar energy systems incentives. Its consumer vehicles include the Model 3, Y, S, X and Cybertruck. Its lithium-ion battery energy storage products include Powerwall and Megapack.</v>
    <v>134785</v>
    <v>Nasdaq Stock Market</v>
    <v>XNAS</v>
    <v>XNAS</v>
    <v>1 Tesla Road, AUSTIN, TX, 78725 US</v>
    <v>386.7</v>
    <v>Automobiles &amp; Auto Parts</v>
    <v>Stock</v>
    <v>46288.999961863279</v>
    <v>445</v>
    <v>377.57499999999999</v>
    <v>1501301805640</v>
    <v>TESLA, INC.</v>
    <v>TESLA, INC.</v>
    <v>380.1</v>
    <v>380.42430000000002</v>
    <v>378.9</v>
    <v>380.12</v>
    <v>380.13389999999998</v>
    <v>3949547000</v>
    <v>TSLA</v>
    <v>TESLA, INC. (XNAS:TSLA)</v>
    <v>33522492</v>
    <v>38800703</v>
    <v>2024</v>
  </rv>
  <rv s="1">
    <v>446</v>
  </rv>
  <rv s="0">
    <v>0</v>
    <v>SPACE EXPLORATION TECHNOLOGIES CORP. (XNAS:SPCX)</v>
    <v>2</v>
    <v>3</v>
    <v>Finance</v>
    <v>4</v>
    <v>en-US</v>
    <v>d8uapr</v>
    <v>268435456</v>
    <v>1</v>
    <v>Powered by Refinitiv</v>
    <v>225.64</v>
    <v>104.83</v>
    <v>2.6179999999999999</v>
    <v>-6.36</v>
    <v>-4.1106999999999998E-2</v>
    <v>0.40910000000000002</v>
    <v>2.7569999999999999E-3</v>
    <v>USD</v>
    <v>Space Exploration Technologies Corp. designs, manufactures, launches, and operates products and services built on technologies, including rockets and spacecraft. The Company's segments include Space, Connectivity, and AI. Its Space segment designs, manufactures, and launches reusable rockets to provide access to space. Its Connectivity segment operates broadband data and communications network powered by approximately 10,200 Starlink broadband and mobile satellites in Low-Earth orbit, delivering connectivity to consumer, enterprises, and government customers over 167 countries, territories, and other markets. In its AI (artificial intelligence) segment, it operates a vertically integrated AI platform spanning its truth-seeking frontier model Grok, AI solutions for consumer and enterprise customers, X-its real-time information, entertainment, and free-speech platform and AI computational infrastructure.</v>
    <v>22621</v>
    <v>Nasdaq Stock Market</v>
    <v>XNAS</v>
    <v>XNAS</v>
    <v>1 Rocket Road, Starbase, TX, 78521 US</v>
    <v>154.26</v>
    <v>Telecommunications Services</v>
    <v>Stock</v>
    <v>46288.99999477969</v>
    <v>147.88999999999999</v>
    <v>2013663575200</v>
    <v>SPACE EXPLORATION TECHNOLOGIES CORP.</v>
    <v>SPACE EXPLORATION TECHNOLOGIES CORP.</v>
    <v>153.27500000000001</v>
    <v>0</v>
    <v>154.72</v>
    <v>148.36000000000001</v>
    <v>148.76910000000001</v>
    <v>13572820000</v>
    <v>SPCX</v>
    <v>SPACE EXPLORATION TECHNOLOGIES CORP. (XNAS:SPCX)</v>
    <v>60641577</v>
    <v>87863353</v>
    <v>2024</v>
  </rv>
  <rv s="1">
    <v>448</v>
  </rv>
  <rv s="2">
    <v>https://www.bing.com/financeapi/forcetrigger?t=a1r5fr&amp;q=XNYS%3aDLR&amp;form=skydnc</v>
    <v>Learn more on Bing</v>
  </rv>
  <rv s="3">
    <v>5</v>
    <v>DIGITAL REALTY TRUST, INC. (XNYS:DLR)</v>
    <v>6</v>
    <v>3</v>
    <v>Finance</v>
    <v>4</v>
    <v>en-US</v>
    <v>a1r5fr</v>
    <v>268435456</v>
    <v>1</v>
    <v>Powered by Refinitiv</v>
    <v>208.14</v>
    <v>146.22999999999999</v>
    <v>1.0052000000000001</v>
    <v>-4.2</v>
    <v>-2.2623000000000001E-2</v>
    <v>0.6</v>
    <v>3.307E-3</v>
    <v>USD</v>
    <v>Digital Realty Trust, Inc. is a real estate investment trust. The Company owns, acquires, develops, and operates data centers through its operating partnership subsidiary, Digital Realty Trust, L.P. The Company is focused on providing data center, colocation, and interconnection solutions for domestic and international customers across a variety of industry verticals ranging from cloud and information technology services, communications and social networking to financial services, manufacturing, energy, healthcare, and consumer products. It provides its customers with access to the connected data communities with a global data center footprint of 300+ facilities in 55+ metros across 30+ countries on six continents. The Company's PlatformDIGITAL is a global data center platform for scaling digital business which enables customers to deploy critical infrastructure with a global data center provider.</v>
    <v>4282</v>
    <v>New York Stock Exchange</v>
    <v>XNYS</v>
    <v>XNYS</v>
    <v>2323 Bryan Street, Suite 1800, DALLAS, TX, 75201 US</v>
    <v>187</v>
    <v>Residential &amp; Commercial REIT</v>
    <v>Stock</v>
    <v>46288.98994333281</v>
    <v>450</v>
    <v>181.03</v>
    <v>67317714114</v>
    <v>DIGITAL REALTY TRUST, INC.</v>
    <v>DIGITAL REALTY TRUST, INC.</v>
    <v>184.29</v>
    <v>88.125299999999996</v>
    <v>185.65</v>
    <v>181.45</v>
    <v>182.05</v>
    <v>370998700</v>
    <v>DLR</v>
    <v>DIGITAL REALTY TRUST, INC. (XNYS:DLR)</v>
    <v>1605126</v>
    <v>2058841</v>
    <v>2004</v>
  </rv>
  <rv s="1">
    <v>451</v>
  </rv>
  <rv s="2">
    <v>https://www.bing.com/financeapi/forcetrigger?t=a1s4mw&amp;q=XNAS%3aEQIX&amp;form=skydnc</v>
    <v>Learn more on Bing</v>
  </rv>
  <rv s="3">
    <v>5</v>
    <v>EQUINIX, INC. (XNAS:EQIX)</v>
    <v>6</v>
    <v>3</v>
    <v>Finance</v>
    <v>4</v>
    <v>en-US</v>
    <v>a1s4mw</v>
    <v>268435456</v>
    <v>1</v>
    <v>Powered by Refinitiv</v>
    <v>1128.68</v>
    <v>720.62009999999998</v>
    <v>0.96619999999999995</v>
    <v>-21.6</v>
    <v>-2.0392E-2</v>
    <v>1.84</v>
    <v>1.7730000000000001E-3</v>
    <v>USD</v>
    <v>Equinix, Inc. is a digital infrastructure company. The Company's platform, Equinix, combines a global footprint of International Business Exchange and xScale data centers in the Americas, Asia-Pacific, and Europe, the Middle East and Africa (EMEA) regions, interconnection offerings, and digital ecosystems required to serve a large and diverse set of customers. It offers a variety of enabling solutions that support a customer's need to implement, operate and maintain its colocated deployments. Its solutions include Equinix SmartView, Equinix Smart Hands, Equinix Smart Build, and Equinix Managed Solutions and Enablement Services. Equinix SmartView is fully integrated monitoring software that provides customers with visibility into the operating data relevant to their specific Equinix footprint. Its interconnection solutions connect businesses directly within and between its data centers across its platform. Its interconnection solutions are Equinix Fabric, Fiber Connect, among others.</v>
    <v>13716</v>
    <v>Nasdaq Stock Market</v>
    <v>XNAS</v>
    <v>XNAS</v>
    <v>One Lagoon Drive, REDWOOD CITY, CA, 94065 US</v>
    <v>1060.9749999999999</v>
    <v>Residential &amp; Commercial REIT</v>
    <v>Stock</v>
    <v>46288.989953032033</v>
    <v>453</v>
    <v>1036.1600000000001</v>
    <v>102387665845</v>
    <v>EQUINIX, INC.</v>
    <v>EQUINIX, INC.</v>
    <v>1057</v>
    <v>66.7804</v>
    <v>1059.26</v>
    <v>1037.6600000000001</v>
    <v>1039.5</v>
    <v>98671690</v>
    <v>EQIX</v>
    <v>EQUINIX, INC. (XNAS:EQIX)</v>
    <v>392242</v>
    <v>518483</v>
    <v>1998</v>
  </rv>
  <rv s="1">
    <v>454</v>
  </rv>
  <rv s="0">
    <v>0</v>
    <v>COREWEAVE, INC. (XNAS:CRWV)</v>
    <v>2</v>
    <v>3</v>
    <v>Finance</v>
    <v>4</v>
    <v>en-US</v>
    <v>cgblqh</v>
    <v>268435456</v>
    <v>1</v>
    <v>Powered by Refinitiv</v>
    <v>153.19990000000001</v>
    <v>60.55</v>
    <v>2.8029999999999999</v>
    <v>0.14000000000000001</v>
    <v>1.614E-3</v>
    <v>-0.1</v>
    <v>-1.1509999999999999E-3</v>
    <v>USD</v>
    <v>CoreWeave, Inc. is a cloud infrastructure technology company. The Company offers the CoreWeave Cloud Platform, which consists of software and cloud services that deliver the automation and efficiency needed to manage complex artificial intelligence (AI) infrastructure. Its CoreWeave Cloud Platform is an integrated solution that is purpose-built for running AI workloads such as model training and inference. Its solutions include infrastructure services, managed software services, and application software services. Its Infrastructure Services provide its customers with access to advanced graphics processing unit (GPU) and central processing unit (CPU) compute, highly performant networking, and storage. Its Managed Software Services include CKS, a flexible virtual private cloud and a bare metal service that runs kubernetes directly on high-performance servers. Its Application Software Services build on top of its infrastructure and managed software services, integrating additional tools.</v>
    <v>2189</v>
    <v>Nasdaq Stock Market</v>
    <v>XNAS</v>
    <v>XNAS</v>
    <v>290 W. Mt. Pleasant Avenue, Suite 4100, LIVINGSTON, NJ, 07039 US</v>
    <v>90.36</v>
    <v>Software &amp; IT Services</v>
    <v>Stock</v>
    <v>46288.999982546091</v>
    <v>86.55</v>
    <v>47928530540</v>
    <v>COREWEAVE, INC.</v>
    <v>COREWEAVE, INC.</v>
    <v>88.984999999999999</v>
    <v>0</v>
    <v>86.76</v>
    <v>86.9</v>
    <v>86.8</v>
    <v>551536600</v>
    <v>CRWV</v>
    <v>COREWEAVE, INC. (XNAS:CRWV)</v>
    <v>31705052</v>
    <v>26640085</v>
    <v>2017</v>
  </rv>
  <rv s="1">
    <v>456</v>
  </rv>
  <rv s="2">
    <v>https://www.bing.com/financeapi/forcetrigger?t=c2m6c7&amp;q=XNYS%3aALCC&amp;form=skydnc</v>
    <v>Learn more on Bing</v>
  </rv>
  <rv s="7">
    <v>12</v>
    <v>OKLO INC. (XNYS:OKLO)</v>
    <v>6</v>
    <v>13</v>
    <v>Finance</v>
    <v>4</v>
    <v>en-US</v>
    <v>c2m6c7</v>
    <v>268435456</v>
    <v>1</v>
    <v>Powered by Refinitiv</v>
    <v>193.84</v>
    <v>34.380000000000003</v>
    <v>1.1993</v>
    <v>-1.63</v>
    <v>-4.0296999999999999E-2</v>
    <v>6.9800000000000001E-2</v>
    <v>1.7979999999999999E-3</v>
    <v>USD</v>
    <v>Oklo Inc. is an advanced nuclear technology company. It is engaged in developing fast fission power plants to provide clean, reliable, and affordable energy at scale. It focuses on producing electricity and heat from its Aurora powerhouses, which can run on fresh, recycled, or down-blended nuclear fuel. It is also commercializing nuclear fuel recycling technology that can convert used nuclear fuel into usable fuel for its powerhouses and those of others. Its Aurora powerhouse product line is designed with embedded safety features, to be able to run on fresh, recycled, or down-blended fuel, and to produce 15-75 megawatts of electric (MWe). Its radioisotope activities are to support domestic supply for medical, industrial, space, defense, and other critical applications. Its capabilities also include high-precision machining, prototyping, fabrication, inspection, and others. It also specializes in process development and skid fabrication with a long background in reactive metals.</v>
    <v>205</v>
    <v>New York Stock Exchange</v>
    <v>XNYS</v>
    <v>XNYS</v>
    <v>3190 Coronado Dr, SANTA CLARA, CA, 95054 US</v>
    <v>40.3675</v>
    <v>Electrical Utilities &amp; IPPs</v>
    <v>Stock</v>
    <v>46288.999659200781</v>
    <v>458</v>
    <v>38.76</v>
    <v>7221207114</v>
    <v>OKLO INC.</v>
    <v>OKLO INC.</v>
    <v>40.21</v>
    <v>40.450000000000003</v>
    <v>38.82</v>
    <v>38.889800000000001</v>
    <v>186017700</v>
    <v>OKLO</v>
    <v>OKLO INC. (XNYS:OKLO)</v>
    <v>7280010</v>
    <v>10338025</v>
    <v>2021</v>
  </rv>
  <rv s="1">
    <v>459</v>
  </rv>
  <rv s="2">
    <v>https://www.bing.com/financeapi/forcetrigger?t=a1safr&amp;q=XNYS%3aETN&amp;form=skydnc</v>
    <v>Learn more on Bing</v>
  </rv>
  <rv s="3">
    <v>5</v>
    <v>EATON CORPORATION PUBLIC LIMITED COMPANY (XNYS:ETN)</v>
    <v>6</v>
    <v>3</v>
    <v>Finance</v>
    <v>4</v>
    <v>en-US</v>
    <v>a1safr</v>
    <v>268435456</v>
    <v>1</v>
    <v>Powered by Refinitiv</v>
    <v>478</v>
    <v>311.91500000000002</v>
    <v>1.1357999999999999</v>
    <v>-3.73</v>
    <v>-8.43E-3</v>
    <v>-0.05</v>
    <v>-1.1400000000000001E-4</v>
    <v>USD</v>
    <v>Eaton Corporation plc is an intelligent power management company. Its Electrical Americas segment consists of electrical components, industrial components, power distribution and assemblies, residential products, circuit protection, utility power distribution, wiring devices and others. The Electrical Global segment consists of electrical components, industrial components, power distribution and assemblies, single phase and three phase power quality, and services. The Aerospace segment is a global supplier of aerospace fuel, hydraulics, and pneumatic systems for commercial and military use and filtration systems for industrial applications. The Vehicle segment designs, manufactures, markets, and supplies drivetrain, powertrain systems and critical components. The eMobility segment designs, manufactures, markets, and supplies mechanical, electrical, and electronic components and systems. The Company is also engaged in providing thermal monitoring for critical electrical equipment.</v>
    <v>97000</v>
    <v>New York Stock Exchange</v>
    <v>XNYS</v>
    <v>XNYS</v>
    <v>30 Pembroke Road, Eaton House, DUBLIN, DUBLIN IE</v>
    <v>443.49</v>
    <v>Machinery, Equipment &amp; Components</v>
    <v>Stock</v>
    <v>46288.989947892966</v>
    <v>461</v>
    <v>436.09500000000003</v>
    <v>170414384000</v>
    <v>EATON CORPORATION PUBLIC LIMITED COMPANY</v>
    <v>EATON CORPORATION PUBLIC LIMITED COMPANY</v>
    <v>442.56</v>
    <v>44.046900000000001</v>
    <v>442.49</v>
    <v>438.76</v>
    <v>438.71</v>
    <v>388400000</v>
    <v>ETN</v>
    <v>EATON CORPORATION PUBLIC LIMITED COMPANY (XNYS:ETN)</v>
    <v>1787413</v>
    <v>2031249</v>
    <v>2012</v>
  </rv>
  <rv s="1">
    <v>462</v>
  </rv>
  <rv s="2">
    <v>https://www.bing.com/financeapi/forcetrigger?t=a2uwz2&amp;q=OTCM%3aSBGSY&amp;form=skydnc</v>
    <v>Learn more on Bing</v>
  </rv>
  <rv s="3">
    <v>5</v>
    <v>Schneider Electric SE (OTCM:SBGSY)</v>
    <v>6</v>
    <v>74</v>
    <v>Finance</v>
    <v>47</v>
    <v>en-US</v>
    <v>a2uwz2</v>
    <v>268435456</v>
    <v>1</v>
    <v>Powered by Refinitiv</v>
    <v>71.98</v>
    <v>50.61</v>
    <v>1.389</v>
    <v>-1.44</v>
    <v>-2.1189E-2</v>
    <v>0</v>
    <v>0</v>
    <v>USD</v>
    <v>Schneider Electric SE is a France‑based company. The Company is specialized in the digital transformation of energy management and automation across homes, buildings, data centres, infrastructure, and industrial environments. It delivers solutions spanning medium‑ and low‑voltage power management, secure energy systems, and advanced automation technologies. Its integrated efficiency offerings combine energy management, automation, and software, supported by an open ecosystem that enables collaboration with partners, integrators, and developers to deliver real‑time operational control and improved performance. It operates in more than 115 countries including France, Western Europe, the United States, North America, China, the Asia‑Pacific region, and other global markets.</v>
    <v>162970</v>
    <v>OTC Markets</v>
    <v>OTCM</v>
    <v>OTCM</v>
    <v>35 rue Joseph Monier, RUEIL-MALMAISON, ILE-DE-FRANCE, 92500 FR</v>
    <v>67.34</v>
    <v>Machinery, Equipment &amp; Components</v>
    <v>Stock</v>
    <v>46288.833719131253</v>
    <v>464</v>
    <v>66.12</v>
    <v>170688600000</v>
    <v>Schneider Electric SE</v>
    <v>Schneider Electric SE</v>
    <v>67.31</v>
    <v>0</v>
    <v>67.959999999999994</v>
    <v>66.52</v>
    <v>66.52</v>
    <v>578605300</v>
    <v>SBGSY</v>
    <v>Schneider Electric SE (OTCM:SBGSY)</v>
    <v>202285</v>
    <v>943400</v>
    <v>1988</v>
  </rv>
  <rv s="1">
    <v>465</v>
  </rv>
  <rv s="2">
    <v>https://www.bing.com/financeapi/forcetrigger?t=a1qe5r&amp;q=XNAS%3aCSCO&amp;form=skydnc</v>
    <v>Learn more on Bing</v>
  </rv>
  <rv s="3">
    <v>5</v>
    <v>CISCO SYSTEMS, INC. (XNAS:CSCO)</v>
    <v>6</v>
    <v>3</v>
    <v>Finance</v>
    <v>4</v>
    <v>en-US</v>
    <v>a1qe5r</v>
    <v>268435456</v>
    <v>1</v>
    <v>Powered by Refinitiv</v>
    <v>130.3656</v>
    <v>66.813100000000006</v>
    <v>0.97550000000000003</v>
    <v>-0.01</v>
    <v>-9.3950000000000007E-5</v>
    <v>-0.08</v>
    <v>-7.517E-4</v>
    <v>USD</v>
    <v>Cisco Systems, Inc. designs and sells a range of technologies that power the Internet. The Company is integrating its product portfolios across networking, security, collaboration, applications and cloud. The Company's segments include the Americas; Europe, Middle East, and Africa (EMEA), and Asia Pacific, Japan, and China (APJC). Its Networking product category represents its core networking technologies of switching, routing, wireless, fifth generation (5G), silicon, optics solutions and compute products. Its Security product category consists of its cloud and application security, industrial security, network security, and user and device security offerings. Its Collaboration product category consists of its meetings, collaboration devices, calling, contact center and platform as a service (CPaaS) offering. Its Observability product category consists of its full stack observability offerings.</v>
    <v>82400</v>
    <v>Nasdaq Stock Market</v>
    <v>XNAS</v>
    <v>XNAS</v>
    <v>170 West Tasman Dr, SAN JOSE, CA, 95134-1706 US</v>
    <v>106.88</v>
    <v>Communications &amp; Networking</v>
    <v>Stock</v>
    <v>46288.999719015628</v>
    <v>467</v>
    <v>105.91</v>
    <v>419609534410</v>
    <v>CISCO SYSTEMS, INC.</v>
    <v>CISCO SYSTEMS, INC.</v>
    <v>106.22</v>
    <v>31.978200000000001</v>
    <v>106.44</v>
    <v>106.43</v>
    <v>106.35</v>
    <v>3942587000</v>
    <v>CSCO</v>
    <v>CISCO SYSTEMS, INC. (XNAS:CSCO)</v>
    <v>17637884</v>
    <v>16413674</v>
    <v>2021</v>
  </rv>
  <rv s="1">
    <v>468</v>
  </rv>
  <rv s="2">
    <v>https://www.bing.com/financeapi/forcetrigger?t=a1yv52&amp;q=XNAS%3aNVDA&amp;form=skydnc</v>
    <v>Learn more on Bing</v>
  </rv>
  <rv s="3">
    <v>5</v>
    <v>NVIDIA CORPORATION (XNAS:NVDA)</v>
    <v>6</v>
    <v>3</v>
    <v>Finance</v>
    <v>4</v>
    <v>en-US</v>
    <v>a1yv52</v>
    <v>268435456</v>
    <v>1</v>
    <v>Powered by Refinitiv</v>
    <v>236.54</v>
    <v>164.27</v>
    <v>2.2183999999999999</v>
    <v>-3.36</v>
    <v>-1.4681E-2</v>
    <v>-0.46910000000000002</v>
    <v>-2.0799999999999998E-3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228.95</v>
    <v>Semiconductors &amp; Semiconductor Equipment</v>
    <v>Stock</v>
    <v>46288.999998969528</v>
    <v>470</v>
    <v>224.02</v>
    <v>5434791000000</v>
    <v>NVIDIA CORPORATION</v>
    <v>NVIDIA CORPORATION</v>
    <v>228.03</v>
    <v>28.507000000000001</v>
    <v>228.87</v>
    <v>225.51</v>
    <v>225.04089999999999</v>
    <v>24100000000</v>
    <v>NVDA</v>
    <v>NVIDIA CORPORATION (XNAS:NVDA)</v>
    <v>89547290</v>
    <v>127677727</v>
    <v>1998</v>
  </rv>
  <rv s="1">
    <v>471</v>
  </rv>
  <rv s="2">
    <v>https://www.bing.com/financeapi/forcetrigger?t=a1tdvh&amp;q=XNAS%3aFSLR&amp;form=skydnc</v>
    <v>Learn more on Bing</v>
  </rv>
  <rv s="3">
    <v>5</v>
    <v>FIRST SOLAR, INC. (XNAS:FSLR)</v>
    <v>6</v>
    <v>3</v>
    <v>Finance</v>
    <v>4</v>
    <v>en-US</v>
    <v>a1tdvh</v>
    <v>268435456</v>
    <v>1</v>
    <v>Powered by Refinitiv</v>
    <v>320.95</v>
    <v>182.99</v>
    <v>1.7768999999999999</v>
    <v>-8.81</v>
    <v>-4.3879000000000001E-2</v>
    <v>0.98609999999999998</v>
    <v>5.1370000000000001E-3</v>
    <v>USD</v>
    <v>First Solar, Inc. is a photovoltaic (PV) solar technology and manufacturing company. It is focused on enabling power generation needs with its advanced, thin film PV technology. The Company's primary segment is its modules business, which involves the design, manufacture, and sale of CdTe solar modules, which convert sunlight into electricity. Third-party customers of the segment include system developers, independent power producers, utilities, commercial and industrial companies, and other system owners and operators. The Company's products include the Series 7 Module and Series 6 Plus module. Its Series 6 Plus module is a glass laminate approximately 4ft x 6ft in size that encapsulates thin film PV semiconductor materials. Its Series 7 module has a larger form factor of approximately 4ft x 7ft in size. The Series 6 Plus and Series 7 modules had an average power output of 464 watts and 532 watts, respectively.</v>
    <v>7900</v>
    <v>Nasdaq Stock Market</v>
    <v>XNAS</v>
    <v>XNAS</v>
    <v>4300 E Camelback Road, Suite 220, PHOENIX, AZ, 85018 US</v>
    <v>201.48990000000001</v>
    <v>Renewable Energy</v>
    <v>Stock</v>
    <v>46288.998690763285</v>
    <v>473</v>
    <v>191.15</v>
    <v>20630977506</v>
    <v>FIRST SOLAR, INC.</v>
    <v>FIRST SOLAR, INC.</v>
    <v>200.39</v>
    <v>11.835000000000001</v>
    <v>200.78</v>
    <v>191.97</v>
    <v>192.95609999999999</v>
    <v>107469800</v>
    <v>FSLR</v>
    <v>FIRST SOLAR, INC. (XNAS:FSLR)</v>
    <v>2118585</v>
    <v>1985709</v>
    <v>2003</v>
  </rv>
  <rv s="1">
    <v>474</v>
  </rv>
</rvData>
</file>

<file path=xl/richData/rdrichvaluestructure.xml><?xml version="1.0" encoding="utf-8"?>
<rvStructures xmlns="http://schemas.microsoft.com/office/spreadsheetml/2017/richdata" count="33">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
    <k n="%cvi" t="r"/>
  </s>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sourceattribution">
    <k n="License" t="r"/>
    <k n="Source" t="r"/>
  </s>
  <s t="_imageurl">
    <k n="_Provider" t="spb"/>
    <k n="Address" t="s"/>
    <k n="Attribution" t="r"/>
    <k n="ComputedImage" t="b"/>
    <k n="More Images 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mage" t="r"/>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Exchange" t="s"/>
    <k n="Exchange abbreviation" t="s"/>
    <k n="High"/>
    <k n="Instrument type" t="s"/>
    <k n="Last trade time"/>
    <k n="Low"/>
    <k n="Name" t="s"/>
    <k n="Open"/>
    <k n="Previous close"/>
    <k n="Price"/>
    <k n="Ticker symbol" t="s"/>
    <k n="UniqueName" t="s"/>
    <k n="Volum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Exchange" t="s"/>
    <k n="Exchange abbreviation" t="s"/>
    <k n="Expense ratio"/>
    <k n="High"/>
    <k n="Instrument type" t="s"/>
    <k n="Last trade time"/>
    <k n="Low"/>
    <k n="Market cap"/>
    <k n="Name" t="s"/>
    <k n="Open"/>
    <k n="Previous close"/>
    <k n="Price"/>
    <k n="Price (Extended hours)"/>
    <k n="Ticker symbol" t="s"/>
    <k n="UniqueName" t="s"/>
    <k n="Volume"/>
    <k n="Volume average"/>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xchange" t="s"/>
    <k n="Exchange abbreviation" t="s"/>
    <k n="ExchangeID" t="s"/>
    <k n="Headquarters" t="s"/>
    <k n="High"/>
    <k n="Industry" t="s"/>
    <k n="Instrument type" t="s"/>
    <k n="Last trade time"/>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hange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mployees"/>
    <k n="Exchange" t="s"/>
    <k n="Exchange abbreviation" t="s"/>
    <k n="ExchangeID" t="s"/>
    <k n="Headquarters" t="s"/>
    <k n="High"/>
    <k n="Industry" t="s"/>
    <k n="Instrument type" t="s"/>
    <k n="Last trade time"/>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urrency" t="s"/>
    <k n="Description" t="s"/>
    <k n="Exchange" t="s"/>
    <k n="Exchange abbreviation" t="s"/>
    <k n="ExchangeID" t="s"/>
    <k n="Headquarters" t="s"/>
    <k n="High"/>
    <k n="Instrument type" t="s"/>
    <k n="Last trade time"/>
    <k n="LearnMoreOnLink" t="r"/>
    <k n="Low"/>
    <k n="Name" t="s"/>
    <k n="Official name" t="s"/>
    <k n="Open"/>
    <k n="P/E"/>
    <k n="Previous close"/>
    <k n="Price"/>
    <k n="Ticker symbol" t="s"/>
    <k n="UniqueName" t="s"/>
    <k n="Volume"/>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Exchange" t="s"/>
    <k n="Exchange abbreviation" t="s"/>
    <k n="ExchangeID" t="s"/>
    <k n="Headquarters" t="s"/>
    <k n="High"/>
    <k n="Instrument type" t="s"/>
    <k n="Last trade time"/>
    <k n="LearnMoreOnLink" t="r"/>
    <k n="Low"/>
    <k n="Name" t="s"/>
    <k n="Official name" t="s"/>
    <k n="Open"/>
    <k n="P/E"/>
    <k n="Previous close"/>
    <k n="Price"/>
    <k n="Ticker symbol" t="s"/>
    <k n="UniqueName" t="s"/>
    <k n="Volume"/>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xchange" t="s"/>
    <k n="Exchange abbreviation" t="s"/>
    <k n="ExchangeID" t="s"/>
    <k n="Headquarters" t="s"/>
    <k n="High"/>
    <k n="Industry" t="s"/>
    <k n="Instrument type" t="s"/>
    <k n="Last trade time"/>
    <k n="Low"/>
    <k n="Market cap"/>
    <k n="Name" t="s"/>
    <k n="Official name" t="s"/>
    <k n="Open"/>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xchange" t="s"/>
    <k n="Exchange abbreviation" t="s"/>
    <k n="ExchangeID" t="s"/>
    <k n="Headquarters" t="s"/>
    <k n="High"/>
    <k n="Instrument type" t="s"/>
    <k n="Last trade time"/>
    <k n="LearnMoreOnLink" t="r"/>
    <k n="Low"/>
    <k n="Name" t="s"/>
    <k n="Official name" t="s"/>
    <k n="Open"/>
    <k n="P/E"/>
    <k n="Previous close"/>
    <k n="Price"/>
    <k n="Ticker symbol" t="s"/>
    <k n="UniqueName" t="s"/>
    <k n="Volume"/>
  </s>
  <s t="_linkedentitycore">
    <k n="_Display" t="spb"/>
    <k n="_DisplayString" t="s"/>
    <k n="_Flags" t="spb"/>
    <k n="_Format" t="spb"/>
    <k n="_Icon" t="s"/>
    <k n="_SubLabel" t="spb"/>
    <k n="%EntityCulture" t="s"/>
    <k n="%EntityId" t="s"/>
    <k n="%EntityServiceId"/>
    <k n="%IsRefreshable" t="b"/>
    <k n="%ProviderInfo" t="s"/>
    <k n="52 week high"/>
    <k n="52 week low"/>
    <k n="Change"/>
    <k n="Change (%)"/>
    <k n="Currency" t="s"/>
    <k n="Description" t="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core">
    <k n="_Display" t="spb"/>
    <k n="_DisplayString" t="s"/>
    <k n="_Flags" t="spb"/>
    <k n="_Format" t="spb"/>
    <k n="_Icon" t="s"/>
    <k n="_SubLabel" t="spb"/>
    <k n="%EntityCulture" t="s"/>
    <k n="%EntityId" t="s"/>
    <k n="%EntityServiceId"/>
    <k n="%IsRefreshable" t="b"/>
    <k n="%ProviderInfo" t="s"/>
    <k n="52 week high"/>
    <k n="52 week low"/>
    <k n="Change"/>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Year incorporated"/>
  </s>
</rvStructures>
</file>

<file path=xl/richData/rdsupportingpropertybag.xml><?xml version="1.0" encoding="utf-8"?>
<supportingPropertyBags xmlns="http://schemas.microsoft.com/office/spreadsheetml/2017/richdata2">
  <spbArrays count="28">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ExchangeID</v>
      <v t="s">%ProviderInfo</v>
    </a>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6">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Image</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LearnMoreOnLink</v>
      <v t="s">ExchangeID</v>
      <v t="s">%ProviderInfo</v>
    </a>
    <a count="29">
      <v t="s">%EntityServiceId</v>
      <v t="s">_Format</v>
      <v t="s">%IsRefreshable</v>
      <v t="s">%EntityCulture</v>
      <v t="s">%EntityId</v>
      <v t="s">_Icon</v>
      <v t="s">_Display</v>
      <v t="s">Name</v>
      <v t="s">Price</v>
      <v t="s">Exchange</v>
      <v t="s">_SubLabel</v>
      <v t="s">Last trade time</v>
      <v t="s">Ticker symbol</v>
      <v t="s">Exchange abbreviation</v>
      <v t="s">Change</v>
      <v t="s">Change (%)</v>
      <v t="s">Currency</v>
      <v t="s">Previous close</v>
      <v t="s">Open</v>
      <v t="s">High</v>
      <v t="s">Low</v>
      <v t="s">52 week high</v>
      <v t="s">52 week low</v>
      <v t="s">Volume</v>
      <v t="s">Instrument type</v>
      <v t="s">_Flags</v>
      <v t="s">UniqueName</v>
      <v t="s">_DisplayString</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35">
      <v t="s">%EntityServiceId</v>
      <v t="s">_Format</v>
      <v t="s">%IsRefreshable</v>
      <v t="s">%EntityCulture</v>
      <v t="s">%EntityId</v>
      <v t="s">_Icon</v>
      <v t="s">_Display</v>
      <v t="s">Name</v>
      <v t="s">_SubLabel</v>
      <v t="s">Price</v>
      <v t="s">Price (Extended hours)</v>
      <v t="s">Exchange</v>
      <v t="s">Last trade time</v>
      <v t="s">Ticker symbol</v>
      <v t="s">Exchange abbreviation</v>
      <v t="s">Change</v>
      <v t="s">Change (Extended hours)</v>
      <v t="s">Expense ratio</v>
      <v t="s">Change (%)</v>
      <v t="s">Change % (Extended hours)</v>
      <v t="s">Currency</v>
      <v t="s">Previous close</v>
      <v t="s">Open</v>
      <v t="s">High</v>
      <v t="s">Low</v>
      <v t="s">52 week high</v>
      <v t="s">52 week low</v>
      <v t="s">Volume</v>
      <v t="s">Volume average</v>
      <v t="s">Market cap</v>
      <v t="s">Instrument type</v>
      <v t="s">_Flags</v>
      <v t="s">UniqueName</v>
      <v t="s">_DisplayString</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Market cap</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42">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Currency</v>
      <v t="s">Previous close</v>
      <v t="s">Open</v>
      <v t="s">High</v>
      <v t="s">Low</v>
      <v t="s">52 week high</v>
      <v t="s">52 week low</v>
      <v t="s">Volume</v>
      <v t="s">Volume average</v>
      <v t="s">Market cap</v>
      <v t="s">P/E</v>
      <v t="s">Shares outstanding</v>
      <v t="s">Description</v>
      <v t="s">Employees</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Shares outstanding</v>
      <v t="s">Description</v>
      <v t="s">Employees</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Headquarters</v>
      <v t="s">Industry</v>
      <v t="s">Instrument type</v>
      <v t="s">Year incorporated</v>
      <v t="s">_Flags</v>
      <v t="s">UniqueName</v>
      <v t="s">_DisplayString</v>
      <v t="s">LearnMoreOnLink</v>
      <v t="s">ExchangeID</v>
      <v t="s">%ProviderInfo</v>
    </a>
    <a count="44">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Market cap</v>
      <v t="s">P/E</v>
      <v t="s">Shares outstanding</v>
      <v t="s">Description</v>
      <v t="s">Headquarters</v>
      <v t="s">Industry</v>
      <v t="s">Instrument type</v>
      <v t="s">Year incorporated</v>
      <v t="s">_Flags</v>
      <v t="s">UniqueName</v>
      <v t="s">_DisplayString</v>
      <v t="s">LearnMoreOnLink</v>
      <v t="s">ExchangeID</v>
      <v t="s">%ProviderInfo</v>
    </a>
    <a count="39">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Shares outstanding</v>
      <v t="s">Description</v>
      <v t="s">Employees</v>
      <v t="s">Headquarters</v>
      <v t="s">Industry</v>
      <v t="s">Instrument type</v>
      <v t="s">Year incorporated</v>
      <v t="s">_Flags</v>
      <v t="s">UniqueName</v>
      <v t="s">_DisplayString</v>
      <v t="s">ExchangeID</v>
      <v t="s">%ProviderInfo</v>
    </a>
    <a count="34">
      <v t="s">%EntityServiceId</v>
      <v t="s">_Format</v>
      <v t="s">%IsRefreshable</v>
      <v t="s">%EntityCulture</v>
      <v t="s">%EntityId</v>
      <v t="s">_Icon</v>
      <v t="s">_Display</v>
      <v t="s">Name</v>
      <v t="s">_SubLabel</v>
      <v t="s">Price</v>
      <v t="s">Exchange</v>
      <v t="s">Official name</v>
      <v t="s">Last trade time</v>
      <v t="s">Ticker symbol</v>
      <v t="s">Exchange abbreviation</v>
      <v t="s">Change</v>
      <v t="s">Currency</v>
      <v t="s">Previous close</v>
      <v t="s">Open</v>
      <v t="s">High</v>
      <v t="s">Low</v>
      <v t="s">52 week high</v>
      <v t="s">52 week low</v>
      <v t="s">Volume</v>
      <v t="s">P/E</v>
      <v t="s">Description</v>
      <v t="s">Headquarters</v>
      <v t="s">Instrument type</v>
      <v t="s">_Flags</v>
      <v t="s">UniqueName</v>
      <v t="s">_DisplayString</v>
      <v t="s">LearnMoreOnLink</v>
      <v t="s">ExchangeID</v>
      <v t="s">%ProviderInfo</v>
    </a>
    <a count="34">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P/E</v>
      <v t="s">Headquarters</v>
      <v t="s">Instrument type</v>
      <v t="s">_Flags</v>
      <v t="s">UniqueName</v>
      <v t="s">_DisplayString</v>
      <v t="s">LearnMoreOnLink</v>
      <v t="s">ExchangeID</v>
      <v t="s">%ProviderInfo</v>
    </a>
    <a count="39">
      <v t="s">%EntityServiceId</v>
      <v t="s">_Format</v>
      <v t="s">%IsRefreshable</v>
      <v t="s">%EntityCulture</v>
      <v t="s">%EntityId</v>
      <v t="s">_Icon</v>
      <v t="s">_Display</v>
      <v t="s">Name</v>
      <v t="s">Price</v>
      <v t="s">Exchange</v>
      <v t="s">Official name</v>
      <v t="s">_SubLabel</v>
      <v t="s">Last trade time</v>
      <v t="s">Ticker symbol</v>
      <v t="s">Exchange abbreviation</v>
      <v t="s">Change</v>
      <v t="s">Change (%)</v>
      <v t="s">Currency</v>
      <v t="s">Previous close</v>
      <v t="s">Open</v>
      <v t="s">High</v>
      <v t="s">Low</v>
      <v t="s">52 week high</v>
      <v t="s">52 week low</v>
      <v t="s">Volume</v>
      <v t="s">Volume average</v>
      <v t="s">Market cap</v>
      <v t="s">Beta</v>
      <v t="s">Shares outstanding</v>
      <v t="s">Description</v>
      <v t="s">Headquarters</v>
      <v t="s">Industry</v>
      <v t="s">Instrument type</v>
      <v t="s">Year incorporated</v>
      <v t="s">_Flags</v>
      <v t="s">UniqueName</v>
      <v t="s">_DisplayString</v>
      <v t="s">ExchangeID</v>
      <v t="s">%ProviderInfo</v>
    </a>
    <a count="41">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35">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P/E</v>
      <v t="s">Description</v>
      <v t="s">Headquarters</v>
      <v t="s">Instrument type</v>
      <v t="s">_Flags</v>
      <v t="s">UniqueName</v>
      <v t="s">_DisplayString</v>
      <v t="s">LearnMoreOnLink</v>
      <v t="s">ExchangeID</v>
      <v t="s">%ProviderInfo</v>
    </a>
    <a count="40">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P/E</v>
      <v t="s">Shares outstanding</v>
      <v t="s">Description</v>
      <v t="s">Headquarters</v>
      <v t="s">Industry</v>
      <v t="s">Instrument type</v>
      <v t="s">Year incorporated</v>
      <v t="s">_Flags</v>
      <v t="s">UniqueName</v>
      <v t="s">_DisplayString</v>
      <v t="s">LearnMoreOnLink</v>
      <v t="s">ExchangeID</v>
      <v t="s">%ProviderInfo</v>
    </a>
    <a count="43">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39">
      <v t="s">%EntityServiceId</v>
      <v t="s">_Format</v>
      <v t="s">%IsRefreshable</v>
      <v t="s">%EntityCulture</v>
      <v t="s">%EntityId</v>
      <v t="s">_Icon</v>
      <v t="s">_Display</v>
      <v t="s">Name</v>
      <v t="s">_SubLabel</v>
      <v t="s">Price</v>
      <v t="s">Exchange</v>
      <v t="s">Official name</v>
      <v t="s">Last trade time</v>
      <v t="s">Ticker symbol</v>
      <v t="s">Exchange abbreviation</v>
      <v t="s">Change</v>
      <v t="s">Currency</v>
      <v t="s">Previous close</v>
      <v t="s">Open</v>
      <v t="s">High</v>
      <v t="s">Low</v>
      <v t="s">52 week high</v>
      <v t="s">52 week low</v>
      <v t="s">Volume</v>
      <v t="s">Market cap</v>
      <v t="s">P/E</v>
      <v t="s">Shares outstanding</v>
      <v t="s">Description</v>
      <v t="s">Employees</v>
      <v t="s">Headquarters</v>
      <v t="s">Industry</v>
      <v t="s">Instrument type</v>
      <v t="s">Year incorporated</v>
      <v t="s">_Flags</v>
      <v t="s">UniqueName</v>
      <v t="s">_DisplayString</v>
      <v t="s">LearnMoreOnLink</v>
      <v t="s">ExchangeID</v>
      <v t="s">%ProviderInfo</v>
    </a>
  </spbArrays>
  <spbData count="75">
    <spb s="0">
      <v>0</v>
      <v>Name</v>
    </spb>
    <spb s="1">
      <v>0</v>
      <v>0</v>
      <v>0</v>
    </spb>
    <spb s="2">
      <v>1</v>
      <v>1</v>
      <v>1</v>
    </spb>
    <spb s="3">
      <v>1</v>
      <v>2</v>
      <v>2</v>
      <v>1</v>
      <v>3</v>
      <v>1</v>
      <v>1</v>
      <v>1</v>
      <v>4</v>
      <v>4</v>
      <v>5</v>
      <v>6</v>
      <v>1</v>
      <v>1</v>
      <v>1</v>
      <v>4</v>
      <v>7</v>
      <v>8</v>
      <v>9</v>
      <v>4</v>
      <v>1</v>
      <v>1</v>
      <v>5</v>
    </spb>
    <spb s="4">
      <v>at close</v>
      <v>from previous close</v>
      <v>from previous close</v>
      <v>Source: Nasdaq</v>
      <v>GMT</v>
      <v>Delayed 15 minutes</v>
      <v>from close</v>
      <v>from close</v>
    </spb>
    <spb s="5">
      <v>1</v>
      <v>Name</v>
      <v>LearnMoreOnLink</v>
    </spb>
    <spb s="6">
      <v>1</v>
      <v>1</v>
      <v>1</v>
      <v>1</v>
    </spb>
    <spb s="5">
      <v>2</v>
      <v>Name</v>
      <v>LearnMoreOnLink</v>
    </spb>
    <spb s="7">
      <v>0</v>
      <v>0</v>
    </spb>
    <spb s="8">
      <v>8</v>
      <v>1</v>
      <v>1</v>
      <v>1</v>
      <v>1</v>
    </spb>
    <spb s="9">
      <v>1</v>
      <v>2</v>
      <v>2</v>
      <v>1</v>
      <v>3</v>
      <v>1</v>
      <v>10</v>
      <v>1</v>
      <v>1</v>
      <v>4</v>
      <v>4</v>
      <v>5</v>
      <v>6</v>
      <v>1</v>
      <v>1</v>
      <v>1</v>
      <v>4</v>
      <v>7</v>
      <v>8</v>
      <v>9</v>
      <v>4</v>
      <v>1</v>
      <v>1</v>
      <v>5</v>
    </spb>
    <spb s="10">
      <v>Powered by Refinitiv</v>
    </spb>
    <spb s="5">
      <v>3</v>
      <v>Name</v>
      <v>LearnMoreOnLink</v>
    </spb>
    <spb s="11">
      <v>1</v>
      <v>2</v>
      <v>1</v>
      <v>3</v>
      <v>1</v>
      <v>1</v>
      <v>1</v>
      <v>4</v>
      <v>4</v>
      <v>5</v>
      <v>6</v>
      <v>1</v>
      <v>1</v>
      <v>1</v>
      <v>4</v>
      <v>7</v>
      <v>8</v>
      <v>9</v>
      <v>4</v>
      <v>1</v>
      <v>1</v>
      <v>5</v>
    </spb>
    <spb s="3">
      <v>11</v>
      <v>2</v>
      <v>2</v>
      <v>11</v>
      <v>3</v>
      <v>11</v>
      <v>11</v>
      <v>11</v>
      <v>4</v>
      <v>4</v>
      <v>5</v>
      <v>12</v>
      <v>11</v>
      <v>11</v>
      <v>11</v>
      <v>4</v>
      <v>7</v>
      <v>8</v>
      <v>9</v>
      <v>4</v>
      <v>11</v>
      <v>11</v>
      <v>5</v>
    </spb>
    <spb s="12">
      <v>at close</v>
      <v>from previous close</v>
      <v>from previous close</v>
      <v>GMT</v>
      <v>Delayed 20 minutes</v>
      <v>from close</v>
      <v>from close</v>
    </spb>
    <spb s="0">
      <v>4</v>
      <v>Name</v>
    </spb>
    <spb s="13">
      <v>1</v>
      <v>1</v>
    </spb>
    <spb s="14">
      <v>11</v>
      <v>11</v>
      <v>3</v>
      <v>11</v>
      <v>11</v>
      <v>11</v>
      <v>4</v>
      <v>5</v>
      <v>11</v>
      <v>11</v>
      <v>11</v>
      <v>7</v>
      <v>9</v>
    </spb>
    <spb s="15">
      <v>from previous close</v>
      <v>from previous close</v>
      <v>GMT</v>
    </spb>
    <spb s="5">
      <v>5</v>
      <v>Name</v>
      <v>LearnMoreOnLink</v>
    </spb>
    <spb s="16">
      <v>1</v>
      <v>2</v>
      <v>2</v>
      <v>1</v>
      <v>3</v>
      <v>1</v>
      <v>1</v>
      <v>1</v>
      <v>4</v>
      <v>5</v>
      <v>6</v>
      <v>1</v>
      <v>1</v>
      <v>1</v>
      <v>4</v>
      <v>7</v>
      <v>8</v>
      <v>9</v>
      <v>4</v>
      <v>1</v>
      <v>1</v>
      <v>5</v>
    </spb>
    <spb s="5">
      <v>6</v>
      <v>Name</v>
      <v>LearnMoreOnLink</v>
    </spb>
    <spb s="17">
      <v>13</v>
      <v>2</v>
      <v>2</v>
      <v>13</v>
      <v>3</v>
      <v>13</v>
      <v>13</v>
      <v>13</v>
      <v>4</v>
      <v>4</v>
      <v>5</v>
      <v>14</v>
      <v>13</v>
      <v>4</v>
      <v>15</v>
      <v>8</v>
      <v>9</v>
      <v>4</v>
    </spb>
    <spb s="18">
      <v>Delayed 15 minutes</v>
      <v>from previous close</v>
      <v>from previous close</v>
      <v>GMT</v>
    </spb>
    <spb s="0">
      <v>7</v>
      <v>Name</v>
    </spb>
    <spb s="19">
      <v>1</v>
      <v>1</v>
      <v>3</v>
      <v>1</v>
      <v>1</v>
      <v>1</v>
      <v>4</v>
      <v>5</v>
      <v>6</v>
      <v>1</v>
      <v>1</v>
      <v>5</v>
      <v>1</v>
      <v>4</v>
      <v>7</v>
      <v>9</v>
      <v>1</v>
      <v>1</v>
      <v>5</v>
    </spb>
    <spb s="20">
      <v>at close</v>
      <v>from previous close</v>
      <v>Source: Nasdaq</v>
      <v>from previous close</v>
      <v>GMT</v>
      <v>Delayed 15 minutes</v>
      <v>from close</v>
      <v>from close</v>
    </spb>
    <spb s="5">
      <v>8</v>
      <v>Name</v>
      <v>LearnMoreOnLink</v>
    </spb>
    <spb s="21">
      <v>1</v>
      <v>2</v>
      <v>1</v>
      <v>3</v>
      <v>1</v>
      <v>1</v>
      <v>1</v>
      <v>4</v>
      <v>4</v>
      <v>5</v>
      <v>6</v>
      <v>1</v>
      <v>1</v>
      <v>1</v>
      <v>7</v>
      <v>8</v>
      <v>9</v>
      <v>4</v>
    </spb>
    <spb s="5">
      <v>9</v>
      <v>Name</v>
      <v>LearnMoreOnLink</v>
    </spb>
    <spb s="22">
      <v>11</v>
      <v>2</v>
      <v>2</v>
      <v>11</v>
      <v>3</v>
      <v>11</v>
      <v>11</v>
      <v>11</v>
      <v>4</v>
      <v>4</v>
      <v>5</v>
      <v>12</v>
      <v>11</v>
      <v>11</v>
      <v>11</v>
      <v>4</v>
      <v>7</v>
      <v>8</v>
      <v>9</v>
      <v>4</v>
    </spb>
    <spb s="18">
      <v>Delayed 20 minutes</v>
      <v>from previous close</v>
      <v>from previous close</v>
      <v>GMT</v>
    </spb>
    <spb s="0">
      <v>10</v>
      <v>Name</v>
    </spb>
    <spb s="23">
      <v>1</v>
      <v>2</v>
      <v>1</v>
      <v>3</v>
      <v>1</v>
      <v>1</v>
      <v>1</v>
      <v>4</v>
      <v>5</v>
      <v>6</v>
      <v>1</v>
      <v>1</v>
      <v>1</v>
      <v>4</v>
      <v>7</v>
      <v>8</v>
      <v>9</v>
      <v>4</v>
      <v>1</v>
      <v>1</v>
      <v>5</v>
    </spb>
    <spb s="5">
      <v>11</v>
      <v>Name</v>
      <v>LearnMoreOnLink</v>
    </spb>
    <spb s="24">
      <v>1</v>
      <v>2</v>
      <v>1</v>
      <v>3</v>
      <v>1</v>
      <v>1</v>
      <v>1</v>
      <v>4</v>
      <v>4</v>
      <v>5</v>
      <v>6</v>
      <v>1</v>
      <v>1</v>
      <v>1</v>
      <v>4</v>
      <v>7</v>
      <v>8</v>
      <v>9</v>
      <v>4</v>
    </spb>
    <spb s="0">
      <v>12</v>
      <v>Name</v>
    </spb>
    <spb s="25">
      <v>1</v>
      <v>2</v>
      <v>1</v>
      <v>3</v>
      <v>1</v>
      <v>1</v>
      <v>1</v>
      <v>4</v>
      <v>4</v>
      <v>5</v>
      <v>6</v>
      <v>1</v>
      <v>1</v>
      <v>1</v>
      <v>4</v>
      <v>7</v>
      <v>8</v>
      <v>9</v>
      <v>4</v>
      <v>1</v>
      <v>1</v>
      <v>5</v>
    </spb>
    <spb s="3">
      <v>1</v>
      <v>2</v>
      <v>2</v>
      <v>1</v>
      <v>3</v>
      <v>1</v>
      <v>1</v>
      <v>1</v>
      <v>4</v>
      <v>4</v>
      <v>5</v>
      <v>12</v>
      <v>1</v>
      <v>1</v>
      <v>1</v>
      <v>4</v>
      <v>7</v>
      <v>8</v>
      <v>9</v>
      <v>4</v>
      <v>1</v>
      <v>1</v>
      <v>5</v>
    </spb>
    <spb s="5">
      <v>13</v>
      <v>Name</v>
      <v>LearnMoreOnLink</v>
    </spb>
    <spb s="5">
      <v>14</v>
      <v>Name</v>
      <v>LearnMoreOnLink</v>
    </spb>
    <spb s="26">
      <v>1</v>
      <v>2</v>
      <v>1</v>
      <v>3</v>
      <v>1</v>
      <v>1</v>
      <v>1</v>
      <v>4</v>
      <v>4</v>
      <v>5</v>
      <v>6</v>
      <v>1</v>
      <v>1</v>
      <v>1</v>
      <v>4</v>
      <v>7</v>
      <v>8</v>
      <v>9</v>
      <v>4</v>
      <v>1</v>
      <v>1</v>
    </spb>
    <spb s="27">
      <v>at close</v>
      <v>from previous close</v>
      <v>from previous close</v>
      <v>GMT</v>
      <v>Delayed 15 minutes</v>
      <v>from close</v>
    </spb>
    <spb s="0">
      <v>15</v>
      <v>Name</v>
    </spb>
    <spb s="5">
      <v>16</v>
      <v>Name</v>
      <v>LearnMoreOnLink</v>
    </spb>
    <spb s="28">
      <v>1</v>
      <v>2</v>
      <v>2</v>
      <v>1</v>
      <v>3</v>
      <v>1</v>
      <v>1</v>
      <v>1</v>
      <v>4</v>
      <v>5</v>
      <v>6</v>
      <v>1</v>
      <v>1</v>
      <v>1</v>
      <v>4</v>
      <v>7</v>
      <v>8</v>
      <v>9</v>
      <v>4</v>
    </spb>
    <spb s="12">
      <v>at close</v>
      <v>from previous close</v>
      <v>from previous close</v>
      <v>GMT</v>
      <v>Delayed 15 minutes</v>
      <v>from close</v>
      <v>from close</v>
    </spb>
    <spb s="22">
      <v>1</v>
      <v>2</v>
      <v>2</v>
      <v>1</v>
      <v>3</v>
      <v>1</v>
      <v>1</v>
      <v>1</v>
      <v>4</v>
      <v>4</v>
      <v>5</v>
      <v>6</v>
      <v>1</v>
      <v>1</v>
      <v>1</v>
      <v>4</v>
      <v>7</v>
      <v>8</v>
      <v>9</v>
      <v>4</v>
    </spb>
    <spb s="5">
      <v>17</v>
      <v>Name</v>
      <v>LearnMoreOnLink</v>
    </spb>
    <spb s="29">
      <v>1</v>
      <v>2</v>
      <v>2</v>
      <v>1</v>
      <v>3</v>
      <v>1</v>
      <v>1</v>
      <v>1</v>
      <v>4</v>
      <v>4</v>
      <v>5</v>
      <v>12</v>
      <v>1</v>
      <v>1</v>
      <v>1</v>
      <v>7</v>
      <v>8</v>
      <v>9</v>
      <v>4</v>
      <v>1</v>
      <v>1</v>
      <v>5</v>
    </spb>
    <spb s="5">
      <v>18</v>
      <v>Name</v>
      <v>LearnMoreOnLink</v>
    </spb>
    <spb s="30">
      <v>1</v>
      <v>2</v>
      <v>1</v>
      <v>3</v>
      <v>1</v>
      <v>1</v>
      <v>1</v>
      <v>4</v>
      <v>5</v>
      <v>6</v>
      <v>1</v>
      <v>1</v>
      <v>1</v>
      <v>7</v>
      <v>8</v>
      <v>9</v>
      <v>4</v>
    </spb>
    <spb s="0">
      <v>19</v>
      <v>Name</v>
    </spb>
    <spb s="31">
      <v>11</v>
      <v>11</v>
      <v>3</v>
      <v>11</v>
      <v>11</v>
      <v>11</v>
      <v>4</v>
      <v>4</v>
      <v>5</v>
      <v>12</v>
      <v>11</v>
      <v>11</v>
      <v>11</v>
      <v>4</v>
      <v>7</v>
      <v>8</v>
      <v>9</v>
      <v>4</v>
    </spb>
    <spb s="5">
      <v>20</v>
      <v>Name</v>
      <v>LearnMoreOnLink</v>
    </spb>
    <spb s="32">
      <v>1</v>
      <v>2</v>
      <v>1</v>
      <v>3</v>
      <v>1</v>
      <v>1</v>
      <v>1</v>
      <v>4</v>
      <v>1</v>
      <v>1</v>
      <v>1</v>
      <v>7</v>
      <v>9</v>
    </spb>
    <spb s="33">
      <v>Delayed 15 minutes</v>
      <v>from previous close</v>
      <v>GMT</v>
    </spb>
    <spb s="5">
      <v>21</v>
      <v>Name</v>
      <v>LearnMoreOnLink</v>
    </spb>
    <spb s="34">
      <v>1</v>
      <v>2</v>
      <v>1</v>
      <v>3</v>
      <v>1</v>
      <v>1</v>
      <v>1</v>
      <v>4</v>
      <v>5</v>
      <v>1</v>
      <v>1</v>
      <v>1</v>
      <v>7</v>
      <v>9</v>
    </spb>
    <spb s="0">
      <v>22</v>
      <v>Name</v>
    </spb>
    <spb s="35">
      <v>11</v>
      <v>2</v>
      <v>11</v>
      <v>3</v>
      <v>11</v>
      <v>11</v>
      <v>11</v>
      <v>4</v>
      <v>5</v>
      <v>12</v>
      <v>11</v>
      <v>11</v>
      <v>11</v>
      <v>4</v>
      <v>7</v>
      <v>8</v>
      <v>9</v>
      <v>4</v>
    </spb>
    <spb s="5">
      <v>23</v>
      <v>Name</v>
      <v>LearnMoreOnLink</v>
    </spb>
    <spb s="36">
      <v>11</v>
      <v>2</v>
      <v>2</v>
      <v>11</v>
      <v>3</v>
      <v>11</v>
      <v>11</v>
      <v>11</v>
      <v>4</v>
      <v>4</v>
      <v>5</v>
      <v>12</v>
      <v>11</v>
      <v>11</v>
      <v>11</v>
      <v>7</v>
      <v>8</v>
      <v>9</v>
      <v>4</v>
    </spb>
    <spb s="5">
      <v>24</v>
      <v>Name</v>
      <v>LearnMoreOnLink</v>
    </spb>
    <spb s="5">
      <v>25</v>
      <v>Name</v>
      <v>LearnMoreOnLink</v>
    </spb>
    <spb s="37">
      <v>11</v>
      <v>2</v>
      <v>11</v>
      <v>3</v>
      <v>11</v>
      <v>11</v>
      <v>11</v>
      <v>4</v>
      <v>5</v>
      <v>12</v>
      <v>11</v>
      <v>11</v>
      <v>11</v>
      <v>4</v>
      <v>7</v>
      <v>8</v>
      <v>9</v>
      <v>4</v>
    </spb>
    <spb s="5">
      <v>26</v>
      <v>Name</v>
      <v>LearnMoreOnLink</v>
    </spb>
    <spb s="38">
      <v>1</v>
      <v>2</v>
      <v>2</v>
      <v>1</v>
      <v>3</v>
      <v>1</v>
      <v>1</v>
      <v>1</v>
      <v>4</v>
      <v>4</v>
      <v>5</v>
      <v>6</v>
      <v>1</v>
      <v>1</v>
      <v>1</v>
      <v>4</v>
      <v>7</v>
      <v>8</v>
      <v>9</v>
      <v>4</v>
      <v>1</v>
    </spb>
    <spb s="39">
      <v>at close</v>
      <v>from previous close</v>
      <v>from previous close</v>
      <v>GMT</v>
      <v>Delayed 15 minutes</v>
    </spb>
    <spb s="28">
      <v>11</v>
      <v>2</v>
      <v>2</v>
      <v>11</v>
      <v>3</v>
      <v>11</v>
      <v>11</v>
      <v>11</v>
      <v>4</v>
      <v>5</v>
      <v>12</v>
      <v>11</v>
      <v>11</v>
      <v>11</v>
      <v>4</v>
      <v>7</v>
      <v>8</v>
      <v>9</v>
      <v>4</v>
    </spb>
    <spb s="5">
      <v>27</v>
      <v>Name</v>
      <v>LearnMoreOnLink</v>
    </spb>
    <spb s="40">
      <v>1</v>
      <v>2</v>
      <v>1</v>
      <v>3</v>
      <v>1</v>
      <v>1</v>
      <v>1</v>
      <v>4</v>
      <v>4</v>
      <v>6</v>
      <v>1</v>
      <v>1</v>
      <v>1</v>
      <v>7</v>
      <v>8</v>
      <v>9</v>
      <v>4</v>
    </spb>
    <spb s="37">
      <v>1</v>
      <v>2</v>
      <v>1</v>
      <v>3</v>
      <v>1</v>
      <v>1</v>
      <v>1</v>
      <v>4</v>
      <v>5</v>
      <v>6</v>
      <v>1</v>
      <v>1</v>
      <v>1</v>
      <v>4</v>
      <v>7</v>
      <v>8</v>
      <v>9</v>
      <v>4</v>
    </spb>
    <spb s="3">
      <v>1</v>
      <v>2</v>
      <v>2</v>
      <v>1</v>
      <v>3</v>
      <v>1</v>
      <v>1</v>
      <v>1</v>
      <v>4</v>
      <v>4</v>
      <v>5</v>
      <v>14</v>
      <v>1</v>
      <v>1</v>
      <v>1</v>
      <v>4</v>
      <v>7</v>
      <v>8</v>
      <v>9</v>
      <v>4</v>
      <v>1</v>
      <v>1</v>
      <v>5</v>
    </spb>
  </spbData>
</supportingPropertyBags>
</file>

<file path=xl/richData/rdsupportingpropertybagstructure.xml><?xml version="1.0" encoding="utf-8"?>
<spbStructures xmlns="http://schemas.microsoft.com/office/spreadsheetml/2017/richdata2" count="41">
  <s>
    <k n="^Order" t="spba"/>
    <k n="TitleProperty" t="s"/>
  </s>
  <s>
    <k n="ShowInCardView" t="b"/>
    <k n="ShowInDotNotation" t="b"/>
    <k n="ShowInAutoComplete" t="b"/>
  </s>
  <s>
    <k n="ExchangeID" t="spb"/>
    <k n="UniqueName" t="spb"/>
    <k n="`%ProviderInfo"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Order" t="spba"/>
    <k n="TitleProperty" t="s"/>
    <k n="SubTitleProperty" t="s"/>
  </s>
  <s>
    <k n="ExchangeID" t="spb"/>
    <k n="UniqueName" t="spb"/>
    <k n="`%ProviderInfo" t="spb"/>
    <k n="LearnMoreOnLink" t="spb"/>
  </s>
  <s>
    <k n="ShowInDotNotation" t="b"/>
    <k n="ShowInAutoComplete" t="b"/>
  </s>
  <s>
    <k n="Image" t="spb"/>
    <k n="ExchangeID" t="spb"/>
    <k n="UniqueName" t="spb"/>
    <k n="`%ProviderInfo" t="spb"/>
    <k n="LearnMoreOnLink" t="spb"/>
  </s>
  <s>
    <k n="Low" t="i"/>
    <k n="P/E" t="i"/>
    <k n="Beta" t="i"/>
    <k n="High" t="i"/>
    <k n="Name" t="i"/>
    <k n="Open" t="i"/>
    <k n="Image"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name" t="s"/>
  </s>
  <s>
    <k n="Low"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Last trade time" t="s"/>
    <k n="Price (Extended hours)" t="s"/>
    <k n="Change (Extended hours)" t="s"/>
    <k n="Change % (Extended hours)" t="s"/>
  </s>
  <s>
    <k n="UniqueName" t="spb"/>
    <k n="`%ProviderInfo" t="spb"/>
  </s>
  <s>
    <k n="Low" t="i"/>
    <k n="High" t="i"/>
    <k n="Name" t="i"/>
    <k n="Open" t="i"/>
    <k n="Price" t="i"/>
    <k n="Change" t="i"/>
    <k n="Volume" t="i"/>
    <k n="Change (%)" t="i"/>
    <k n="52 week low" t="i"/>
    <k n="52 week high" t="i"/>
    <k n="Previous close" t="i"/>
    <k n="Last trade time" t="i"/>
    <k n="`%EntityServiceId" t="i"/>
  </s>
  <s>
    <k n="Change" t="s"/>
    <k n="Change (%)" t="s"/>
    <k n="Last trade time" t="s"/>
  </s>
  <s>
    <k n="Low" t="i"/>
    <k n="P/E"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P/E" t="i"/>
    <k n="Beta" t="i"/>
    <k n="High" t="i"/>
    <k n="Name" t="i"/>
    <k n="Open" t="i"/>
    <k n="Price" t="i"/>
    <k n="Change" t="i"/>
    <k n="Volume" t="i"/>
    <k n="Employees" t="i"/>
    <k n="Change (%)" t="i"/>
    <k n="Market cap" t="i"/>
    <k n="Previous close" t="i"/>
    <k n="Volume average" t="i"/>
    <k n="Last trade time" t="i"/>
    <k n="Year incorporated" t="i"/>
    <k n="`%EntityServiceId" t="i"/>
    <k n="Shares outstanding" t="i"/>
  </s>
  <s>
    <k n="Price" t="s"/>
    <k n="Change" t="s"/>
    <k n="Change (%)" t="s"/>
    <k n="Last trade time" t="s"/>
  </s>
  <s>
    <k n="Low" t="i"/>
    <k n="High" t="i"/>
    <k n="Name" t="i"/>
    <k n="Open" t="i"/>
    <k n="Price" t="i"/>
    <k n="Change" t="i"/>
    <k n="Volume" t="i"/>
    <k n="Change (%)" t="i"/>
    <k n="Market cap" t="i"/>
    <k n="52 week low" t="i"/>
    <k n="52 week high" t="i"/>
    <k n="Expense ratio" t="i"/>
    <k n="Previous close" t="i"/>
    <k n="Volume average" t="i"/>
    <k n="Last trade time" t="i"/>
    <k n="`%EntityServiceId" t="i"/>
    <k n="Price (Extended hours)" t="i"/>
    <k n="Change (Extended hours)" t="i"/>
    <k n="Change % (Extended hours)" t="i"/>
  </s>
  <s>
    <k n="Price" t="s"/>
    <k n="Change" t="s"/>
    <k n="Exchange" t="s"/>
    <k n="Change (%)" t="s"/>
    <k n="Last trade time" t="s"/>
    <k n="Price (Extended hours)" t="s"/>
    <k n="Change (Extended hours)" t="s"/>
    <k n="Change % (Extended hours)" t="s"/>
  </s>
  <s>
    <k n="Low" t="i"/>
    <k n="P/E" t="i"/>
    <k n="High" t="i"/>
    <k n="Name" t="i"/>
    <k n="Open" t="i"/>
    <k n="Price" t="i"/>
    <k n="Change" t="i"/>
    <k n="Volume" t="i"/>
    <k n="Employees" t="i"/>
    <k n="Change (%)" t="i"/>
    <k n="Market cap" t="i"/>
    <k n="52 week low" t="i"/>
    <k n="52 week high" t="i"/>
    <k n="Previous clos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Low" t="i"/>
    <k n="P/E"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s>
  <s>
    <k n="Price" t="s"/>
    <k n="Change" t="s"/>
    <k n="Change (%)" t="s"/>
    <k n="Last trade time" t="s"/>
    <k n="Price (Extended hours)" t="s"/>
    <k n="Change (Extended hours)" t="s"/>
  </s>
  <s>
    <k n="Low" t="i"/>
    <k n="P/E"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Last trade time" t="i"/>
    <k n="Year incorporated" t="i"/>
    <k n="`%EntityServiceId" t="i"/>
    <k n="Shares outstanding" t="i"/>
    <k n="Price (Extended hours)" t="i"/>
    <k n="Change (Extended hours)" t="i"/>
    <k n="Change % (Extended hours)" t="i"/>
  </s>
  <s>
    <k n="Low" t="i"/>
    <k n="P/E" t="i"/>
    <k n="High" t="i"/>
    <k n="Name" t="i"/>
    <k n="Open" t="i"/>
    <k n="Price" t="i"/>
    <k n="Change" t="i"/>
    <k n="Volume" t="i"/>
    <k n="Change (%)" t="i"/>
    <k n="Market cap" t="i"/>
    <k n="52 week low" t="i"/>
    <k n="52 week high" t="i"/>
    <k n="Previous close" t="i"/>
    <k n="Last trade time" t="i"/>
    <k n="Year incorporated" t="i"/>
    <k n="`%EntityServiceId" t="i"/>
    <k n="Shares outstanding" t="i"/>
  </s>
  <s>
    <k n="Low"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Low" t="i"/>
    <k n="P/E" t="i"/>
    <k n="High" t="i"/>
    <k n="Name" t="i"/>
    <k n="Open" t="i"/>
    <k n="Price" t="i"/>
    <k n="Change" t="i"/>
    <k n="Volume" t="i"/>
    <k n="52 week low" t="i"/>
    <k n="52 week high" t="i"/>
    <k n="Previous close" t="i"/>
    <k n="Last trade time" t="i"/>
    <k n="`%EntityServiceId" t="i"/>
  </s>
  <s>
    <k n="Price" t="s"/>
    <k n="Change" t="s"/>
    <k n="Last trade time" t="s"/>
  </s>
  <s>
    <k n="Low" t="i"/>
    <k n="P/E" t="i"/>
    <k n="High" t="i"/>
    <k n="Name" t="i"/>
    <k n="Open" t="i"/>
    <k n="Price" t="i"/>
    <k n="Change" t="i"/>
    <k n="Volume" t="i"/>
    <k n="Change (%)" t="i"/>
    <k n="52 week low" t="i"/>
    <k n="52 week high" t="i"/>
    <k n="Previous close" t="i"/>
    <k n="Last trade time" t="i"/>
    <k n="`%EntityServiceId" t="i"/>
  </s>
  <s>
    <k n="Low" t="i"/>
    <k n="Beta" t="i"/>
    <k n="High" t="i"/>
    <k n="Name" t="i"/>
    <k n="Open" t="i"/>
    <k n="Price" t="i"/>
    <k n="Change" t="i"/>
    <k n="Volume"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Last trade time" t="i"/>
    <k n="Year incorporated" t="i"/>
    <k n="`%EntityServiceId" t="i"/>
    <k n="Shares outstanding" t="i"/>
  </s>
  <s>
    <k n="Low" t="i"/>
    <k n="P/E" t="i"/>
    <k n="High" t="i"/>
    <k n="Name" t="i"/>
    <k n="Open" t="i"/>
    <k n="Price" t="i"/>
    <k n="Change" t="i"/>
    <k n="Volume" t="i"/>
    <k n="Change (%)" t="i"/>
    <k n="Market cap" t="i"/>
    <k n="52 week low" t="i"/>
    <k n="52 week high" t="i"/>
    <k n="Previous close" t="i"/>
    <k n="Volume average" t="i"/>
    <k n="Last trade time" t="i"/>
    <k n="Year incorporated" t="i"/>
    <k n="`%EntityServiceId" t="i"/>
    <k n="Shares outstanding" t="i"/>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s>
  <s>
    <k n="Price" t="s"/>
    <k n="Change" t="s"/>
    <k n="Change (%)" t="s"/>
    <k n="Last trade time" t="s"/>
    <k n="Price (Extended hours)" t="s"/>
  </s>
  <s>
    <k n="Low" t="i"/>
    <k n="P/E" t="i"/>
    <k n="High" t="i"/>
    <k n="Name" t="i"/>
    <k n="Open" t="i"/>
    <k n="Price" t="i"/>
    <k n="Change" t="i"/>
    <k n="Volume" t="i"/>
    <k n="Employees" t="i"/>
    <k n="Market cap" t="i"/>
    <k n="52 week low" t="i"/>
    <k n="52 week high" t="i"/>
    <k n="Previous close" t="i"/>
    <k n="Last trade time" t="i"/>
    <k n="Year incorporated" t="i"/>
    <k n="`%EntityServiceId" t="i"/>
    <k n="Shares outstanding" t="i"/>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8">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x:dxf>
      <x:numFmt numFmtId="19" formatCode="m/d/yy"/>
    </x:dxf>
  </dxfs>
  <richProperties>
    <rPr n="NumberFormat" t="s"/>
    <rPr n="IsTitleField" t="b"/>
    <rPr n="IsHero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Sty>
      <rpv i="2">1</rpv>
    </rSty>
    <rSty dxfid="1">
      <rpv i="0">_([$$-en-CA]* #,##0.00_);_([$$-en-CA]* (#,##0.00);_([$$-en-CA]* "-"??_);_(@_)</rpv>
    </rSty>
    <rSty dxfid="1">
      <rpv i="0">_([$$-en-CA]* #,##0_);_([$$-en-CA]* (#,##0);_([$$-en-CA]* "-"_);_(@_)</rpv>
    </rSty>
    <rSty dxfid="1">
      <rpv i="0">_([$€-x-euro2] * #,##0.00_);_([$€-x-euro2] * (#,##0.00);_([$€-x-euro2] * "-"??_);_(@_)</rpv>
    </rSty>
    <rSty dxfid="1">
      <rpv i="0">_([$€-x-euro2] * #,##0_);_([$€-x-euro2] * (#,##0);_([$€-x-euro2] * "-"_);_(@_)</rpv>
    </rSty>
    <rSty dxfid="7"/>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5C753B-4310-0348-8FED-C1ADE6C52306}">
  <we:reference id="WA200003692" version="1.0.0.2" store="Omex" storeType="OMEX"/>
  <we:alternateReferences>
    <we:reference id="WA200003692" version="1.0.0.2" store="WA200003692"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17" Type="http://schemas.openxmlformats.org/officeDocument/2006/relationships/hyperlink" Target="../../../../../../../../../../../Desktop/business/models/companies/KULR.xlsx" TargetMode="External"/><Relationship Id="rId21" Type="http://schemas.openxmlformats.org/officeDocument/2006/relationships/hyperlink" Target="../../../../../../../../../../../Desktop/business/models/companies/ROK.xlsx" TargetMode="External"/><Relationship Id="rId42" Type="http://schemas.openxmlformats.org/officeDocument/2006/relationships/hyperlink" Target="../../../../../../../../../../../Desktop/business/models/companies/CPX.xlsx" TargetMode="External"/><Relationship Id="rId63" Type="http://schemas.openxmlformats.org/officeDocument/2006/relationships/hyperlink" Target="../../../../../../../../../../../Desktop/business/models/companies/ALNT.xlsx" TargetMode="External"/><Relationship Id="rId84" Type="http://schemas.openxmlformats.org/officeDocument/2006/relationships/hyperlink" Target="../../../../../../../../../../../Desktop/business/models/companies/SPRU.xlsx" TargetMode="External"/><Relationship Id="rId138" Type="http://schemas.openxmlformats.org/officeDocument/2006/relationships/hyperlink" Target="../../../../../../../../../../../Desktop/business/models/companies/HYLN.xlsx" TargetMode="External"/><Relationship Id="rId159" Type="http://schemas.openxmlformats.org/officeDocument/2006/relationships/hyperlink" Target="../../../../../../../../../../../Desktop/business/models/companies/EQIX.xlsx" TargetMode="External"/><Relationship Id="rId107" Type="http://schemas.openxmlformats.org/officeDocument/2006/relationships/hyperlink" Target="../../../../../../../../../../../Desktop/business/models/companies/CNTM.xlsx" TargetMode="External"/><Relationship Id="rId11" Type="http://schemas.openxmlformats.org/officeDocument/2006/relationships/hyperlink" Target="../../../../../../../../../../../Desktop/business/models/companies/EMR.xlsx" TargetMode="External"/><Relationship Id="rId32" Type="http://schemas.openxmlformats.org/officeDocument/2006/relationships/hyperlink" Target="../../../../../../../../../../../Desktop/business/models/companies/GNRC.xlsx" TargetMode="External"/><Relationship Id="rId53" Type="http://schemas.openxmlformats.org/officeDocument/2006/relationships/hyperlink" Target="../../../../../../../../../../../Desktop/business/models/companies/ORA.xlsx" TargetMode="External"/><Relationship Id="rId74" Type="http://schemas.openxmlformats.org/officeDocument/2006/relationships/hyperlink" Target="../../../../../../../../../../../Desktop/business/models/companies/HMM_A.xlsx" TargetMode="External"/><Relationship Id="rId128" Type="http://schemas.openxmlformats.org/officeDocument/2006/relationships/hyperlink" Target="../../../../../../../../../../../Desktop/business/models/companies/WATT.xlsx" TargetMode="External"/><Relationship Id="rId149" Type="http://schemas.openxmlformats.org/officeDocument/2006/relationships/hyperlink" Target="../../../../../../../../../../../Desktop/business/models/companies/GWH.xlsx" TargetMode="External"/><Relationship Id="rId5" Type="http://schemas.openxmlformats.org/officeDocument/2006/relationships/hyperlink" Target="../../../../../../../../../../../Desktop/business/models/companies/NEE.xlsx" TargetMode="External"/><Relationship Id="rId95" Type="http://schemas.openxmlformats.org/officeDocument/2006/relationships/hyperlink" Target="../../../../../../../../../../../Desktop/business/models/companies/PIF.xlsx" TargetMode="External"/><Relationship Id="rId160" Type="http://schemas.openxmlformats.org/officeDocument/2006/relationships/hyperlink" Target="../../../../../../../../../../../Desktop/business/models/companies/CRWV.xlsx" TargetMode="External"/><Relationship Id="rId22" Type="http://schemas.openxmlformats.org/officeDocument/2006/relationships/hyperlink" Target="../../../../../../../../../../../Desktop/business/models/companies/AME.xlsx" TargetMode="External"/><Relationship Id="rId43" Type="http://schemas.openxmlformats.org/officeDocument/2006/relationships/hyperlink" Target="../../../../../../../../../../../Desktop/business/models/companies/FLNC.xlsx" TargetMode="External"/><Relationship Id="rId64" Type="http://schemas.openxmlformats.org/officeDocument/2006/relationships/hyperlink" Target="../../../../../../../../../../../Desktop/business/models/companies/EAF.xlsx" TargetMode="External"/><Relationship Id="rId118" Type="http://schemas.openxmlformats.org/officeDocument/2006/relationships/hyperlink" Target="../../../../../../../../../../../Desktop/business/models/companies/ELGT.xlsx" TargetMode="External"/><Relationship Id="rId139" Type="http://schemas.openxmlformats.org/officeDocument/2006/relationships/hyperlink" Target="../../../../../../../../../../../Desktop/business/models/companies/SUN.xlsx" TargetMode="External"/><Relationship Id="rId85" Type="http://schemas.openxmlformats.org/officeDocument/2006/relationships/hyperlink" Target="../../../../../../../../../../../Desktop/business/models/companies/CEPL.xlsx" TargetMode="External"/><Relationship Id="rId150" Type="http://schemas.openxmlformats.org/officeDocument/2006/relationships/hyperlink" Target="../../../../../../../../../../../Desktop/business/models/companies/GNAL.xlsx" TargetMode="External"/><Relationship Id="rId12" Type="http://schemas.openxmlformats.org/officeDocument/2006/relationships/hyperlink" Target="../../../../../../../../../../../Desktop/business/models/companies/VST.xlsx" TargetMode="External"/><Relationship Id="rId17" Type="http://schemas.openxmlformats.org/officeDocument/2006/relationships/hyperlink" Target="../../../../../../../../../../../Desktop/business/models/companies/AES.xlsx" TargetMode="External"/><Relationship Id="rId33" Type="http://schemas.openxmlformats.org/officeDocument/2006/relationships/hyperlink" Target="../../../../../../../../../../../Desktop/business/models/companies/ENS.xlsx" TargetMode="External"/><Relationship Id="rId38" Type="http://schemas.openxmlformats.org/officeDocument/2006/relationships/hyperlink" Target="../../../../../../../../../../../Desktop/business/models/companies/HE.xlsx" TargetMode="External"/><Relationship Id="rId59" Type="http://schemas.openxmlformats.org/officeDocument/2006/relationships/hyperlink" Target="../../../../../../../../../../../Desktop/business/models/companies/LYTS.xlsx" TargetMode="External"/><Relationship Id="rId103" Type="http://schemas.openxmlformats.org/officeDocument/2006/relationships/hyperlink" Target="../../../../../../../../../../../Desktop/business/models/companies/LSCG.xlsx" TargetMode="External"/><Relationship Id="rId108" Type="http://schemas.openxmlformats.org/officeDocument/2006/relationships/hyperlink" Target="../../../../../../../../../../../Desktop/business/models/companies/ENVX.xlsx" TargetMode="External"/><Relationship Id="rId124" Type="http://schemas.openxmlformats.org/officeDocument/2006/relationships/hyperlink" Target="../../../../../../../../../../../Desktop/business/models/companies/DEWY.xlsx" TargetMode="External"/><Relationship Id="rId129" Type="http://schemas.openxmlformats.org/officeDocument/2006/relationships/hyperlink" Target="../../../../../../../../../../../Desktop/business/models/companies/HESV.xlsx" TargetMode="External"/><Relationship Id="rId54" Type="http://schemas.openxmlformats.org/officeDocument/2006/relationships/hyperlink" Target="../../../../../../../../../../../Desktop/business/models/companies/MATR.xlsx" TargetMode="External"/><Relationship Id="rId70" Type="http://schemas.openxmlformats.org/officeDocument/2006/relationships/hyperlink" Target="../../../../../../../../../../../Desktop/business/models/companies/VICR.xlsx" TargetMode="External"/><Relationship Id="rId75" Type="http://schemas.openxmlformats.org/officeDocument/2006/relationships/hyperlink" Target="../../../../../../../../../../../Desktop/business/models/companies/ULBI.xlsx" TargetMode="External"/><Relationship Id="rId91" Type="http://schemas.openxmlformats.org/officeDocument/2006/relationships/hyperlink" Target="../../../../../../../../../../../Desktop/business/models/companies/SKYX.xlsx" TargetMode="External"/><Relationship Id="rId96" Type="http://schemas.openxmlformats.org/officeDocument/2006/relationships/hyperlink" Target="../../../../../../../../../../../Desktop/business/models/companies/AMPX.xlsx" TargetMode="External"/><Relationship Id="rId140" Type="http://schemas.openxmlformats.org/officeDocument/2006/relationships/hyperlink" Target="../../../../../../../../../../../Desktop/business/models/companies/ADNH.xlsx" TargetMode="External"/><Relationship Id="rId145" Type="http://schemas.openxmlformats.org/officeDocument/2006/relationships/hyperlink" Target="../../../../../../../../../../../Desktop/business/models/companies/BES.xlsx" TargetMode="External"/><Relationship Id="rId161" Type="http://schemas.openxmlformats.org/officeDocument/2006/relationships/hyperlink" Target="../../../../../../../../../../../Desktop/business/models/companies/OKLO.xlsx" TargetMode="External"/><Relationship Id="rId166" Type="http://schemas.openxmlformats.org/officeDocument/2006/relationships/hyperlink" Target="../../../../../../../../../../../Desktop/business/models/companies/FSLR.xlsx" TargetMode="External"/><Relationship Id="rId1" Type="http://schemas.openxmlformats.org/officeDocument/2006/relationships/hyperlink" Target="../../../../../../../../../../../Desktop/business/models/companies/GEV.xlsx" TargetMode="External"/><Relationship Id="rId6" Type="http://schemas.openxmlformats.org/officeDocument/2006/relationships/hyperlink" Target="../../../../../../../../../../../Desktop/business/models/companies/CEG.xlsx" TargetMode="External"/><Relationship Id="rId23" Type="http://schemas.openxmlformats.org/officeDocument/2006/relationships/hyperlink" Target="../../../../../../../../../../../Desktop/business/models/companies/H.xlsx" TargetMode="External"/><Relationship Id="rId28" Type="http://schemas.openxmlformats.org/officeDocument/2006/relationships/hyperlink" Target="../../../../../../../../../../../Desktop/business/models/companies/HUBB.xlsx" TargetMode="External"/><Relationship Id="rId49" Type="http://schemas.openxmlformats.org/officeDocument/2006/relationships/hyperlink" Target="../../../../../../../../../../../Desktop/business/models/companies/OTTR.xlsx" TargetMode="External"/><Relationship Id="rId114" Type="http://schemas.openxmlformats.org/officeDocument/2006/relationships/hyperlink" Target="../../../../../../../../../../../Desktop/business/models/companies/SES.xlsx" TargetMode="External"/><Relationship Id="rId119" Type="http://schemas.openxmlformats.org/officeDocument/2006/relationships/hyperlink" Target="../../../../../../../../../../../Desktop/business/models/companies/ESNC.xlsx" TargetMode="External"/><Relationship Id="rId44" Type="http://schemas.openxmlformats.org/officeDocument/2006/relationships/hyperlink" Target="../../../../../../../../../../../Desktop/business/models/companies/TXNM.xlsx" TargetMode="External"/><Relationship Id="rId60" Type="http://schemas.openxmlformats.org/officeDocument/2006/relationships/hyperlink" Target="../../../../../../../../../../../Desktop/business/models/companies/PLPC.xlsx" TargetMode="External"/><Relationship Id="rId65" Type="http://schemas.openxmlformats.org/officeDocument/2006/relationships/hyperlink" Target="../../../../../../../../../../../Desktop/business/models/companies/GNE.xlsx" TargetMode="External"/><Relationship Id="rId81" Type="http://schemas.openxmlformats.org/officeDocument/2006/relationships/hyperlink" Target="../../../../../../../../../../../Desktop/business/models/companies/BWEN.xlsx" TargetMode="External"/><Relationship Id="rId86" Type="http://schemas.openxmlformats.org/officeDocument/2006/relationships/hyperlink" Target="../../../../../../../../../../../Desktop/business/models/companies/TYGO.xlsx" TargetMode="External"/><Relationship Id="rId130" Type="http://schemas.openxmlformats.org/officeDocument/2006/relationships/hyperlink" Target="../../../../../../../../../../../Desktop/business/models/companies/NVVE.xlsx" TargetMode="External"/><Relationship Id="rId135" Type="http://schemas.openxmlformats.org/officeDocument/2006/relationships/hyperlink" Target="../../../../../../../../../../../Desktop/business/models/companies/BLSP.xlsx" TargetMode="External"/><Relationship Id="rId151" Type="http://schemas.openxmlformats.org/officeDocument/2006/relationships/hyperlink" Target="../../../../../../../../../../../Desktop/business/models/companies/TPII.xlsx" TargetMode="External"/><Relationship Id="rId156" Type="http://schemas.openxmlformats.org/officeDocument/2006/relationships/hyperlink" Target="../../../../../../../../../../../Desktop/business/models/companies/TSLA.xlsx" TargetMode="External"/><Relationship Id="rId13" Type="http://schemas.openxmlformats.org/officeDocument/2006/relationships/hyperlink" Target="../../../../../../../../../../../Desktop/business/models/companies/FE.xlsx" TargetMode="External"/><Relationship Id="rId18" Type="http://schemas.openxmlformats.org/officeDocument/2006/relationships/hyperlink" Target="../../../../../../../../../../../Desktop/business/models/companies/VRT.xlsx" TargetMode="External"/><Relationship Id="rId39" Type="http://schemas.openxmlformats.org/officeDocument/2006/relationships/hyperlink" Target="../../../../../../../../../../../Desktop/business/models/companies/RUN.xlsx" TargetMode="External"/><Relationship Id="rId109" Type="http://schemas.openxmlformats.org/officeDocument/2006/relationships/hyperlink" Target="../../../../../../../../../../../Desktop/business/models/companies/SMR.xlsx" TargetMode="External"/><Relationship Id="rId34" Type="http://schemas.openxmlformats.org/officeDocument/2006/relationships/hyperlink" Target="../../../../../../../../../../../Desktop/business/models/companies/ST.xlsx" TargetMode="External"/><Relationship Id="rId50" Type="http://schemas.openxmlformats.org/officeDocument/2006/relationships/hyperlink" Target="../../../../../../../../../../../Desktop/business/models/companies/ARRY.xlsx" TargetMode="External"/><Relationship Id="rId55" Type="http://schemas.openxmlformats.org/officeDocument/2006/relationships/hyperlink" Target="../../../../../../../../../../../Desktop/business/models/companies/FPS.xlsx" TargetMode="External"/><Relationship Id="rId76" Type="http://schemas.openxmlformats.org/officeDocument/2006/relationships/hyperlink" Target="../../../../../../../../../../../Desktop/business/models/companies/EROC.xlsx" TargetMode="External"/><Relationship Id="rId97" Type="http://schemas.openxmlformats.org/officeDocument/2006/relationships/hyperlink" Target="../../../../../../../../../../../Desktop/business/models/companies/SUNE.xlsx" TargetMode="External"/><Relationship Id="rId104" Type="http://schemas.openxmlformats.org/officeDocument/2006/relationships/hyperlink" Target="../../../../../../../../../../../Desktop/business/models/companies/CYBL.xlsx" TargetMode="External"/><Relationship Id="rId120" Type="http://schemas.openxmlformats.org/officeDocument/2006/relationships/hyperlink" Target="../../../../../../../../../../../Desktop/business/models/companies/XPON.xlsx" TargetMode="External"/><Relationship Id="rId125" Type="http://schemas.openxmlformats.org/officeDocument/2006/relationships/hyperlink" Target="../../../../../../../../../../../Desktop/business/models/companies/POLA.xlsx" TargetMode="External"/><Relationship Id="rId141" Type="http://schemas.openxmlformats.org/officeDocument/2006/relationships/hyperlink" Target="../../../../../../../../../../../Desktop/business/models/companies/CPWR.xlsx" TargetMode="External"/><Relationship Id="rId146" Type="http://schemas.openxmlformats.org/officeDocument/2006/relationships/hyperlink" Target="../../../../../../../../../../../Desktop/business/models/companies/IXEH.xlsx" TargetMode="External"/><Relationship Id="rId7" Type="http://schemas.openxmlformats.org/officeDocument/2006/relationships/hyperlink" Target="../../../../../../../../../../../Desktop/business/models/companies/PCG.xlsx" TargetMode="External"/><Relationship Id="rId71" Type="http://schemas.openxmlformats.org/officeDocument/2006/relationships/hyperlink" Target="../../../../../../../../../../../Desktop/business/models/companies/SPWR.xlsx" TargetMode="External"/><Relationship Id="rId92" Type="http://schemas.openxmlformats.org/officeDocument/2006/relationships/hyperlink" Target="../../../../../../../../../../../Desktop/business/models/companies/SMXT.xlsx" TargetMode="External"/><Relationship Id="rId162" Type="http://schemas.openxmlformats.org/officeDocument/2006/relationships/hyperlink" Target="../../../../../../../../../../../Desktop/business/models/companies/ETN.xlsx" TargetMode="External"/><Relationship Id="rId2" Type="http://schemas.openxmlformats.org/officeDocument/2006/relationships/hyperlink" Target="../../../../../../../../../../../Desktop/business/models/companies/DUK.xlsx" TargetMode="External"/><Relationship Id="rId29" Type="http://schemas.openxmlformats.org/officeDocument/2006/relationships/hyperlink" Target="../../../../../../../../../../../Desktop/business/models/companies/PNW.xlsx" TargetMode="External"/><Relationship Id="rId24" Type="http://schemas.openxmlformats.org/officeDocument/2006/relationships/hyperlink" Target="../../../../../../../../../../../Desktop/business/models/companies/BEP_UN.xlsx" TargetMode="External"/><Relationship Id="rId40" Type="http://schemas.openxmlformats.org/officeDocument/2006/relationships/hyperlink" Target="../../../../../../../../../../../Desktop/business/models/companies/ATKR.xlsx" TargetMode="External"/><Relationship Id="rId45" Type="http://schemas.openxmlformats.org/officeDocument/2006/relationships/hyperlink" Target="../../../../../../../../../../../Desktop/business/models/companies/BE.xlsx" TargetMode="External"/><Relationship Id="rId66" Type="http://schemas.openxmlformats.org/officeDocument/2006/relationships/hyperlink" Target="../../../../../../../../../../../Desktop/business/models/companies/SHLS.xlsx" TargetMode="External"/><Relationship Id="rId87" Type="http://schemas.openxmlformats.org/officeDocument/2006/relationships/hyperlink" Target="../../../../../../../../../../../Desktop/business/models/companies/BLNK.xlsx" TargetMode="External"/><Relationship Id="rId110" Type="http://schemas.openxmlformats.org/officeDocument/2006/relationships/hyperlink" Target="../../../../../../../../../../../Desktop/business/models/companies/XDSL.xlsx" TargetMode="External"/><Relationship Id="rId115" Type="http://schemas.openxmlformats.org/officeDocument/2006/relationships/hyperlink" Target="../../../../../../../../../../../Desktop/business/models/companies/SING.xlsx" TargetMode="External"/><Relationship Id="rId131" Type="http://schemas.openxmlformats.org/officeDocument/2006/relationships/hyperlink" Target="../../../../../../../../../../../Desktop/business/models/companies/OPTT.xlsx" TargetMode="External"/><Relationship Id="rId136" Type="http://schemas.openxmlformats.org/officeDocument/2006/relationships/hyperlink" Target="../../../../../../../../../../../Desktop/business/models/companies/CGEI.xlsx" TargetMode="External"/><Relationship Id="rId157" Type="http://schemas.openxmlformats.org/officeDocument/2006/relationships/hyperlink" Target="../../../../../../../../../../../Desktop/business/models/companies/SPCX.xlsx" TargetMode="External"/><Relationship Id="rId61" Type="http://schemas.openxmlformats.org/officeDocument/2006/relationships/hyperlink" Target="../../../../../../../../../../../Desktop/business/models/companies/HPS_A.xlsx" TargetMode="External"/><Relationship Id="rId82" Type="http://schemas.openxmlformats.org/officeDocument/2006/relationships/hyperlink" Target="../../../../../../../../../../../Desktop/business/models/companies/STEM.xlsx" TargetMode="External"/><Relationship Id="rId152" Type="http://schemas.openxmlformats.org/officeDocument/2006/relationships/hyperlink" Target="../../../../../../../../../../../Desktop/business/models/companies/PWDY.xlsx" TargetMode="External"/><Relationship Id="rId19" Type="http://schemas.openxmlformats.org/officeDocument/2006/relationships/hyperlink" Target="../../../../../../../../../../../Desktop/business/models/companies/PPL.xlsx" TargetMode="External"/><Relationship Id="rId14" Type="http://schemas.openxmlformats.org/officeDocument/2006/relationships/hyperlink" Target="../../../../../../../../../../../Desktop/business/models/companies/XEL.xlsx" TargetMode="External"/><Relationship Id="rId30" Type="http://schemas.openxmlformats.org/officeDocument/2006/relationships/hyperlink" Target="../../../../../../../../../../../Desktop/business/models/companies/LNT.xlsx" TargetMode="External"/><Relationship Id="rId35" Type="http://schemas.openxmlformats.org/officeDocument/2006/relationships/hyperlink" Target="../../../../../../../../../../../Desktop/business/models/companies/POR.xlsx" TargetMode="External"/><Relationship Id="rId56" Type="http://schemas.openxmlformats.org/officeDocument/2006/relationships/hyperlink" Target="../../../../../../../../../../../Desktop/business/models/companies/MGEE.xlsx" TargetMode="External"/><Relationship Id="rId77" Type="http://schemas.openxmlformats.org/officeDocument/2006/relationships/hyperlink" Target="../../../../../../../../../../../Desktop/business/models/companies/MNTK.xlsx" TargetMode="External"/><Relationship Id="rId100" Type="http://schemas.openxmlformats.org/officeDocument/2006/relationships/hyperlink" Target="../../../../../../../../../../../Desktop/business/models/companies/ELVA.xlsx" TargetMode="External"/><Relationship Id="rId105" Type="http://schemas.openxmlformats.org/officeDocument/2006/relationships/hyperlink" Target="../../../../../../../../../../../Desktop/business/models/companies/ESP.xlsx" TargetMode="External"/><Relationship Id="rId126" Type="http://schemas.openxmlformats.org/officeDocument/2006/relationships/hyperlink" Target="../../../../../../../../../../../Desktop/business/models/companies/CEIN.xlsx" TargetMode="External"/><Relationship Id="rId147" Type="http://schemas.openxmlformats.org/officeDocument/2006/relationships/hyperlink" Target="../../../../../../../../../../../Desktop/business/models/companies/HPSS.xlsx" TargetMode="External"/><Relationship Id="rId8" Type="http://schemas.openxmlformats.org/officeDocument/2006/relationships/hyperlink" Target="../../../../../../../../../../../Desktop/business/models/companies/EXC.xlsx" TargetMode="External"/><Relationship Id="rId51" Type="http://schemas.openxmlformats.org/officeDocument/2006/relationships/hyperlink" Target="../../../../../../../../../../../Desktop/business/models/companies/XIFR.xlsx" TargetMode="External"/><Relationship Id="rId72" Type="http://schemas.openxmlformats.org/officeDocument/2006/relationships/hyperlink" Target="../../../../../../../../../../../Desktop/business/models/companies/AMSC.xlsx" TargetMode="External"/><Relationship Id="rId93" Type="http://schemas.openxmlformats.org/officeDocument/2006/relationships/hyperlink" Target="../../../../../../../../../../../Desktop/business/models/companies/OESX.xlsx" TargetMode="External"/><Relationship Id="rId98" Type="http://schemas.openxmlformats.org/officeDocument/2006/relationships/hyperlink" Target="../../../../../../../../../../../Desktop/business/models/companies/ZEO.xlsx" TargetMode="External"/><Relationship Id="rId121" Type="http://schemas.openxmlformats.org/officeDocument/2006/relationships/hyperlink" Target="../../../../../../../../../../../Desktop/business/models/companies/NEOV.xlsx" TargetMode="External"/><Relationship Id="rId142" Type="http://schemas.openxmlformats.org/officeDocument/2006/relationships/hyperlink" Target="../../../../../../../../../../../Desktop/business/models/companies/CTCC.xlsx" TargetMode="External"/><Relationship Id="rId163" Type="http://schemas.openxmlformats.org/officeDocument/2006/relationships/hyperlink" Target="../../../../../../../../../../../Desktop/business/models/companies/SBGSY.xlsx" TargetMode="External"/><Relationship Id="rId3" Type="http://schemas.openxmlformats.org/officeDocument/2006/relationships/hyperlink" Target="../../../../../../../../../../../Desktop/business/models/companies/NRG.xlsx" TargetMode="External"/><Relationship Id="rId25" Type="http://schemas.openxmlformats.org/officeDocument/2006/relationships/hyperlink" Target="../../../../../../../../../../../Desktop/business/models/companies/EMA.xlsx" TargetMode="External"/><Relationship Id="rId46" Type="http://schemas.openxmlformats.org/officeDocument/2006/relationships/hyperlink" Target="../../../../../../../../../../../Desktop/business/models/companies/IDA.xlsx" TargetMode="External"/><Relationship Id="rId67" Type="http://schemas.openxmlformats.org/officeDocument/2006/relationships/hyperlink" Target="../../../../../../../../../../../Desktop/business/models/companies/HNRG.xlsx" TargetMode="External"/><Relationship Id="rId116" Type="http://schemas.openxmlformats.org/officeDocument/2006/relationships/hyperlink" Target="../../../../../../../../../../../Desktop/business/models/companies/EXRO_F.xlsx" TargetMode="External"/><Relationship Id="rId137" Type="http://schemas.openxmlformats.org/officeDocument/2006/relationships/hyperlink" Target="../../../../../../../../../../../Desktop/business/models/companies/EFOI.xlsx" TargetMode="External"/><Relationship Id="rId158" Type="http://schemas.openxmlformats.org/officeDocument/2006/relationships/hyperlink" Target="../../../../../../../../../../../Desktop/business/models/companies/DLR.xlsx" TargetMode="External"/><Relationship Id="rId20" Type="http://schemas.openxmlformats.org/officeDocument/2006/relationships/hyperlink" Target="../../../../../../../../../../../Desktop/business/models/companies/FTS.xlsx" TargetMode="External"/><Relationship Id="rId41" Type="http://schemas.openxmlformats.org/officeDocument/2006/relationships/hyperlink" Target="../../../../../../../../../../../Desktop/business/models/companies/TLN.xlsx" TargetMode="External"/><Relationship Id="rId62" Type="http://schemas.openxmlformats.org/officeDocument/2006/relationships/hyperlink" Target="../../../../../../../../../../../Desktop/business/models/companies/BW.xlsx" TargetMode="External"/><Relationship Id="rId83" Type="http://schemas.openxmlformats.org/officeDocument/2006/relationships/hyperlink" Target="../../../../../../../../../../../Desktop/business/models/companies/EOSE.xlsx" TargetMode="External"/><Relationship Id="rId88" Type="http://schemas.openxmlformats.org/officeDocument/2006/relationships/hyperlink" Target="../../../../../../../../../../../Desktop/business/models/companies/FTCI.xlsx" TargetMode="External"/><Relationship Id="rId111" Type="http://schemas.openxmlformats.org/officeDocument/2006/relationships/hyperlink" Target="../../../../../../../../../../../Desktop/business/models/companies/CSOL.xlsx" TargetMode="External"/><Relationship Id="rId132" Type="http://schemas.openxmlformats.org/officeDocument/2006/relationships/hyperlink" Target="../../../../../../../../../../../Desktop/business/models/companies/KNRL_F.xlsx" TargetMode="External"/><Relationship Id="rId153" Type="http://schemas.openxmlformats.org/officeDocument/2006/relationships/hyperlink" Target="../../../../../../../../../../../Desktop/business/models/companies/DYNA.xlsx" TargetMode="External"/><Relationship Id="rId15" Type="http://schemas.openxmlformats.org/officeDocument/2006/relationships/hyperlink" Target="../../../../../../../../../../../Desktop/business/models/companies/ES.xlsx" TargetMode="External"/><Relationship Id="rId36" Type="http://schemas.openxmlformats.org/officeDocument/2006/relationships/hyperlink" Target="../../../../../../../../../../../Desktop/business/models/companies/NXT.xlsx" TargetMode="External"/><Relationship Id="rId57" Type="http://schemas.openxmlformats.org/officeDocument/2006/relationships/hyperlink" Target="../../../../../../../../../../../Desktop/business/models/companies/PSIX.xlsx" TargetMode="External"/><Relationship Id="rId106" Type="http://schemas.openxmlformats.org/officeDocument/2006/relationships/hyperlink" Target="../../../../../../../../../../../Desktop/business/models/companies/FLUX.xlsx" TargetMode="External"/><Relationship Id="rId127" Type="http://schemas.openxmlformats.org/officeDocument/2006/relationships/hyperlink" Target="../../../../../../../../../../../Desktop/business/models/companies/STCI.xlsx" TargetMode="External"/><Relationship Id="rId10" Type="http://schemas.openxmlformats.org/officeDocument/2006/relationships/hyperlink" Target="../../../../../../../../../../../Desktop/business/models/companies/EIX.xlsx" TargetMode="External"/><Relationship Id="rId31" Type="http://schemas.openxmlformats.org/officeDocument/2006/relationships/hyperlink" Target="../../../../../../../../../../../Desktop/business/models/companies/AYI.xlsx" TargetMode="External"/><Relationship Id="rId52" Type="http://schemas.openxmlformats.org/officeDocument/2006/relationships/hyperlink" Target="../../../../../../../../../../../Desktop/business/models/companies/POWL.xlsx" TargetMode="External"/><Relationship Id="rId73" Type="http://schemas.openxmlformats.org/officeDocument/2006/relationships/hyperlink" Target="../../../../../../../../../../../Desktop/business/models/companies/NRGV.xlsx" TargetMode="External"/><Relationship Id="rId78" Type="http://schemas.openxmlformats.org/officeDocument/2006/relationships/hyperlink" Target="../../../../../../../../../../../Desktop/business/models/companies/DIA.xlsx" TargetMode="External"/><Relationship Id="rId94" Type="http://schemas.openxmlformats.org/officeDocument/2006/relationships/hyperlink" Target="../../../../../../../../../../../Desktop/business/models/companies/SIRC.xlsx" TargetMode="External"/><Relationship Id="rId99" Type="http://schemas.openxmlformats.org/officeDocument/2006/relationships/hyperlink" Target="../../../../../../../../../../../Desktop/business/models/companies/APTL.xlsx" TargetMode="External"/><Relationship Id="rId101" Type="http://schemas.openxmlformats.org/officeDocument/2006/relationships/hyperlink" Target="../../../../../../../../../../../Desktop/business/models/companies/MXG.xlsx" TargetMode="External"/><Relationship Id="rId122" Type="http://schemas.openxmlformats.org/officeDocument/2006/relationships/hyperlink" Target="../../../../../../../../../../../Desktop/business/models/companies/FLCX.xlsx" TargetMode="External"/><Relationship Id="rId143" Type="http://schemas.openxmlformats.org/officeDocument/2006/relationships/hyperlink" Target="../../../../../../../../../../../Desktop/business/models/companies/RSER_F.xlsx" TargetMode="External"/><Relationship Id="rId148" Type="http://schemas.openxmlformats.org/officeDocument/2006/relationships/hyperlink" Target="../../../../../../../../../../../Desktop/business/models/companies/SPRQ.xlsx" TargetMode="External"/><Relationship Id="rId164" Type="http://schemas.openxmlformats.org/officeDocument/2006/relationships/hyperlink" Target="../../../../../../../../../../../Desktop/business/models/companies/CSCO.xlsx" TargetMode="External"/><Relationship Id="rId4" Type="http://schemas.openxmlformats.org/officeDocument/2006/relationships/hyperlink" Target="../../../../../../../../../../../Desktop/business/models/companies/SO.xlsx" TargetMode="External"/><Relationship Id="rId9" Type="http://schemas.openxmlformats.org/officeDocument/2006/relationships/hyperlink" Target="../../../../../../../../../../../Desktop/business/models/companies/AEP.xlsx" TargetMode="External"/><Relationship Id="rId26" Type="http://schemas.openxmlformats.org/officeDocument/2006/relationships/hyperlink" Target="../../../../../../../../../../../Desktop/business/models/companies/EVRG.xlsx" TargetMode="External"/><Relationship Id="rId47" Type="http://schemas.openxmlformats.org/officeDocument/2006/relationships/hyperlink" Target="../../../../../../../../../../../Desktop/business/models/companies/NPI.xlsx" TargetMode="External"/><Relationship Id="rId68" Type="http://schemas.openxmlformats.org/officeDocument/2006/relationships/hyperlink" Target="../../../../../../../../../../../Desktop/business/models/companies/CMNR.xlsx" TargetMode="External"/><Relationship Id="rId89" Type="http://schemas.openxmlformats.org/officeDocument/2006/relationships/hyperlink" Target="../../../../../../../../../../../Desktop/business/models/companies/BLDP.xlsx" TargetMode="External"/><Relationship Id="rId112" Type="http://schemas.openxmlformats.org/officeDocument/2006/relationships/hyperlink" Target="../../../../../../../../../../../Desktop/business/models/companies/BEEM.xlsx" TargetMode="External"/><Relationship Id="rId133" Type="http://schemas.openxmlformats.org/officeDocument/2006/relationships/hyperlink" Target="../../../../../../../../../../../Desktop/business/models/companies/REVV.xlsx" TargetMode="External"/><Relationship Id="rId154" Type="http://schemas.openxmlformats.org/officeDocument/2006/relationships/hyperlink" Target="../../../../../../../../../../../Desktop/business/models/companies/ATNE.xlsx" TargetMode="External"/><Relationship Id="rId16" Type="http://schemas.openxmlformats.org/officeDocument/2006/relationships/hyperlink" Target="../../../../../../../../../../../Desktop/business/models/companies/ETR.xlsx" TargetMode="External"/><Relationship Id="rId37" Type="http://schemas.openxmlformats.org/officeDocument/2006/relationships/hyperlink" Target="../../../../../../../../../../../Desktop/business/models/companies/OGE.xlsx" TargetMode="External"/><Relationship Id="rId58" Type="http://schemas.openxmlformats.org/officeDocument/2006/relationships/hyperlink" Target="../../../../../../../../../../../Desktop/business/models/companies/PLUG.xlsx" TargetMode="External"/><Relationship Id="rId79" Type="http://schemas.openxmlformats.org/officeDocument/2006/relationships/hyperlink" Target="../../../../../../../../../../../Desktop/business/models/companies/SUME.xlsx" TargetMode="External"/><Relationship Id="rId102" Type="http://schemas.openxmlformats.org/officeDocument/2006/relationships/hyperlink" Target="../../../../../../../../../../../Desktop/business/models/companies/DFLI.xlsx" TargetMode="External"/><Relationship Id="rId123" Type="http://schemas.openxmlformats.org/officeDocument/2006/relationships/hyperlink" Target="../../../../../../../../../../../Desktop/business/models/companies/HC.xlsx" TargetMode="External"/><Relationship Id="rId144" Type="http://schemas.openxmlformats.org/officeDocument/2006/relationships/hyperlink" Target="../../../../../../../../../../../Desktop/business/models/companies/CBLU.xlsx" TargetMode="External"/><Relationship Id="rId90" Type="http://schemas.openxmlformats.org/officeDocument/2006/relationships/hyperlink" Target="../../../../../../../../../../../Desktop/business/models/companies/XE.xlsx" TargetMode="External"/><Relationship Id="rId165" Type="http://schemas.openxmlformats.org/officeDocument/2006/relationships/hyperlink" Target="../../../../../../../../../../../Desktop/business/models/companies/NVDA.xlsx" TargetMode="External"/><Relationship Id="rId27" Type="http://schemas.openxmlformats.org/officeDocument/2006/relationships/hyperlink" Target="../../../../../../../../../../../Desktop/business/models/companies/RRX.xlsx" TargetMode="External"/><Relationship Id="rId48" Type="http://schemas.openxmlformats.org/officeDocument/2006/relationships/hyperlink" Target="../../../../../../../../../../../Desktop/business/models/companies/TA.xlsx" TargetMode="External"/><Relationship Id="rId69" Type="http://schemas.openxmlformats.org/officeDocument/2006/relationships/hyperlink" Target="../../../../../../../../../../../Desktop/business/models/companies/CHPT.xlsx" TargetMode="External"/><Relationship Id="rId113" Type="http://schemas.openxmlformats.org/officeDocument/2006/relationships/hyperlink" Target="../../../../../../../../../../../Desktop/business/models/companies/ORBT.xlsx" TargetMode="External"/><Relationship Id="rId134" Type="http://schemas.openxmlformats.org/officeDocument/2006/relationships/hyperlink" Target="../../../../../../../../../../../Desktop/business/models/companies/SOLR.xlsx" TargetMode="External"/><Relationship Id="rId80" Type="http://schemas.openxmlformats.org/officeDocument/2006/relationships/hyperlink" Target="../../../../../../../../../../../Desktop/business/models/companies/FCEL.xlsx" TargetMode="External"/><Relationship Id="rId155" Type="http://schemas.openxmlformats.org/officeDocument/2006/relationships/hyperlink" Target="../../../../../../../../../../../Desktop/business/models/companies/RBNW.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L168"/>
  <sheetViews>
    <sheetView tabSelected="1" workbookViewId="0">
      <selection activeCell="J5" sqref="J5"/>
    </sheetView>
  </sheetViews>
  <sheetFormatPr baseColWidth="10" defaultRowHeight="16" x14ac:dyDescent="0.2"/>
  <cols>
    <col min="2" max="2" width="35.33203125" customWidth="1"/>
    <col min="3" max="3" width="17.6640625" customWidth="1"/>
    <col min="4" max="4" width="6.83203125" customWidth="1"/>
    <col min="5" max="5" width="27.83203125" customWidth="1"/>
    <col min="6" max="6" width="19.1640625" customWidth="1"/>
    <col min="8" max="8" width="16" bestFit="1" customWidth="1"/>
    <col min="9" max="9" width="17.6640625" bestFit="1" customWidth="1"/>
  </cols>
  <sheetData>
    <row r="2" spans="2:12" x14ac:dyDescent="0.2">
      <c r="B2" s="3" t="s">
        <v>0</v>
      </c>
      <c r="C2" s="3" t="s">
        <v>1</v>
      </c>
      <c r="D2" s="3" t="s">
        <v>340</v>
      </c>
      <c r="E2" s="3" t="s">
        <v>2</v>
      </c>
      <c r="F2" s="3" t="s">
        <v>3</v>
      </c>
      <c r="G2" s="3" t="s">
        <v>341</v>
      </c>
      <c r="H2" s="3" t="s">
        <v>342</v>
      </c>
      <c r="I2" s="3" t="s">
        <v>7</v>
      </c>
      <c r="J2" s="3" t="s">
        <v>4</v>
      </c>
      <c r="K2" s="3" t="s">
        <v>5</v>
      </c>
      <c r="L2" s="3" t="s">
        <v>6</v>
      </c>
    </row>
    <row r="3" spans="2:12" x14ac:dyDescent="0.2">
      <c r="B3" s="1" t="s">
        <v>8</v>
      </c>
      <c r="C3" s="2" t="s">
        <v>9</v>
      </c>
      <c r="D3" s="4" t="e" vm="1">
        <v>#VALUE!</v>
      </c>
      <c r="E3" s="1" t="str" cm="1">
        <f t="array" aca="1" ref="E3" ca="1">_FV(D3,"Industry")</f>
        <v>Electrical Utilities &amp; IPPs</v>
      </c>
      <c r="F3" t="str" cm="1">
        <f t="array" aca="1" ref="F3" ca="1">IFERROR(_xlfn.LET(_xlpm.h,_FV(D3,"Headquarters"),_xlpm.p,TRIM(_xlfn.TEXTSPLIT(_xlpm.h,",")),_xlpm.n,COLUMNS(_xlpm.p),_xlpm.z,INDEX(_xlpm.p,1,_xlpm.n),_xlpm.c,INDEX(_xlpm.p,1,_xlpm.n-2),_xlpm.s,INDEX(_xlpm.p,1,_xlpm.n-1),IF(_xlpm.n&lt;4,_xlpm.s,IF(RIGHT(_xlpm.z,2)="IE",_xlpm.s&amp;", "&amp;_xlfn.TEXTBEFORE(_xlpm.z," ",-1),IF(UPPER(LEFT(_xlpm.c,3))="BOX",_xlpm.s,_xlpm.c&amp;", "&amp;_xlpm.s)))),"")</f>
        <v>CAMBRIDGE, MA</v>
      </c>
      <c r="G3" s="5" cm="1">
        <f t="array" aca="1" ref="G3" ca="1">_FV(D3,"price")</f>
        <v>951.82</v>
      </c>
      <c r="H3" s="6" cm="1">
        <f t="array" aca="1" ref="H3" ca="1">_FV(D3,"Shares outstanding",TRUE)/1000</f>
        <v>266333.59999999998</v>
      </c>
      <c r="I3" s="7">
        <f ca="1">G3*H3</f>
        <v>253501647.15199998</v>
      </c>
    </row>
    <row r="4" spans="2:12" x14ac:dyDescent="0.2">
      <c r="B4" s="1" t="s">
        <v>10</v>
      </c>
      <c r="C4" s="2" t="s">
        <v>11</v>
      </c>
      <c r="D4" s="4" t="e" vm="2">
        <v>#VALUE!</v>
      </c>
      <c r="E4" s="1" t="str" cm="1">
        <f t="array" aca="1" ref="E4" ca="1">_FV(D4,"Industry")</f>
        <v>Electrical Utilities &amp; IPPs</v>
      </c>
      <c r="F4" t="str" cm="1">
        <f t="array" aca="1" ref="F4" ca="1">IFERROR(_xlfn.LET(_xlpm.h,_FV(D4,"Headquarters"),_xlpm.p,TRIM(_xlfn.TEXTSPLIT(_xlpm.h,",")),_xlpm.n,COLUMNS(_xlpm.p),_xlpm.z,INDEX(_xlpm.p,1,_xlpm.n),_xlpm.c,INDEX(_xlpm.p,1,_xlpm.n-2),_xlpm.s,INDEX(_xlpm.p,1,_xlpm.n-1),IF(_xlpm.n&lt;4,_xlpm.s,IF(RIGHT(_xlpm.z,2)="IE",_xlpm.s&amp;", "&amp;_xlfn.TEXTBEFORE(_xlpm.z," ",-1),IF(UPPER(LEFT(_xlpm.c,3))="BOX",_xlpm.s,_xlpm.c&amp;", "&amp;_xlpm.s)))),"")</f>
        <v>CHARLOTTE, NC</v>
      </c>
      <c r="G4" s="5" cm="1">
        <f t="array" aca="1" ref="G4" ca="1">_FV(D4,"price")</f>
        <v>114.17</v>
      </c>
      <c r="H4" s="6" cm="1">
        <f t="array" aca="1" ref="H4" ca="1">_FV(D4,"Shares outstanding",TRUE)/1000</f>
        <v>779702.2</v>
      </c>
      <c r="I4" s="7">
        <f t="shared" ref="I4:I67" ca="1" si="0">G4*H4</f>
        <v>89018600.173999995</v>
      </c>
    </row>
    <row r="5" spans="2:12" x14ac:dyDescent="0.2">
      <c r="B5" s="1" t="s">
        <v>12</v>
      </c>
      <c r="C5" s="2" t="s">
        <v>13</v>
      </c>
      <c r="D5" s="4" t="e" vm="3">
        <v>#VALUE!</v>
      </c>
      <c r="E5" s="1" t="str" cm="1">
        <f t="array" aca="1" ref="E5" ca="1">_FV(D5,"Industry")</f>
        <v>Electrical Utilities &amp; IPPs</v>
      </c>
      <c r="F5" t="str" cm="1">
        <f t="array" aca="1" ref="F5" ca="1">IFERROR(_xlfn.LET(_xlpm.h,_FV(D5,"Headquarters"),_xlpm.p,TRIM(_xlfn.TEXTSPLIT(_xlpm.h,",")),_xlpm.n,COLUMNS(_xlpm.p),_xlpm.z,INDEX(_xlpm.p,1,_xlpm.n),_xlpm.c,INDEX(_xlpm.p,1,_xlpm.n-2),_xlpm.s,INDEX(_xlpm.p,1,_xlpm.n-1),IF(_xlpm.n&lt;4,_xlpm.s,IF(RIGHT(_xlpm.z,2)="IE",_xlpm.s&amp;", "&amp;_xlfn.TEXTBEFORE(_xlpm.z," ",-1),IF(UPPER(LEFT(_xlpm.c,3))="BOX",_xlpm.s,_xlpm.c&amp;", "&amp;_xlpm.s)))),"")</f>
        <v>HOUSTON, TX</v>
      </c>
      <c r="G5" s="5" cm="1">
        <f t="array" aca="1" ref="G5" ca="1">_FV(D5,"price")</f>
        <v>100.72</v>
      </c>
      <c r="H5" s="6" cm="1">
        <f t="array" aca="1" ref="H5" ca="1">_FV(D5,"Shares outstanding",TRUE)/1000</f>
        <v>210210.5</v>
      </c>
      <c r="I5" s="7">
        <f t="shared" ca="1" si="0"/>
        <v>21172401.559999999</v>
      </c>
    </row>
    <row r="6" spans="2:12" x14ac:dyDescent="0.2">
      <c r="B6" s="1" t="s">
        <v>14</v>
      </c>
      <c r="C6" s="2" t="s">
        <v>15</v>
      </c>
      <c r="D6" s="4" t="e" vm="4">
        <v>#VALUE!</v>
      </c>
      <c r="E6" s="1" t="str" cm="1">
        <f t="array" aca="1" ref="E6" ca="1">_FV(D6,"Industry")</f>
        <v>Electrical Utilities &amp; IPPs</v>
      </c>
      <c r="F6" t="str" cm="1">
        <f t="array" aca="1" ref="F6" ca="1">IFERROR(_xlfn.LET(_xlpm.h,_FV(D6,"Headquarters"),_xlpm.p,TRIM(_xlfn.TEXTSPLIT(_xlpm.h,",")),_xlpm.n,COLUMNS(_xlpm.p),_xlpm.z,INDEX(_xlpm.p,1,_xlpm.n),_xlpm.c,INDEX(_xlpm.p,1,_xlpm.n-2),_xlpm.s,INDEX(_xlpm.p,1,_xlpm.n-1),IF(_xlpm.n&lt;4,_xlpm.s,IF(RIGHT(_xlpm.z,2)="IE",_xlpm.s&amp;", "&amp;_xlfn.TEXTBEFORE(_xlpm.z," ",-1),IF(UPPER(LEFT(_xlpm.c,3))="BOX",_xlpm.s,_xlpm.c&amp;", "&amp;_xlpm.s)))),"")</f>
        <v>ATLANTA, GA</v>
      </c>
      <c r="G6" s="5" cm="1">
        <f t="array" aca="1" ref="G6" ca="1">_FV(D6,"price")</f>
        <v>83.47</v>
      </c>
      <c r="H6" s="6" cm="1">
        <f t="array" aca="1" ref="H6" ca="1">_FV(D6,"Shares outstanding",TRUE)/1000</f>
        <v>1150363</v>
      </c>
      <c r="I6" s="7">
        <f t="shared" ca="1" si="0"/>
        <v>96020799.609999999</v>
      </c>
    </row>
    <row r="7" spans="2:12" x14ac:dyDescent="0.2">
      <c r="B7" s="1" t="s">
        <v>16</v>
      </c>
      <c r="C7" s="2" t="s">
        <v>17</v>
      </c>
      <c r="D7" s="4" t="e" vm="5">
        <v>#VALUE!</v>
      </c>
      <c r="E7" s="1" t="str" cm="1">
        <f t="array" aca="1" ref="E7" ca="1">_FV(D7,"Industry")</f>
        <v>Electrical Utilities &amp; IPPs</v>
      </c>
      <c r="F7" t="str" cm="1">
        <f t="array" aca="1" ref="F7" ca="1">IFERROR(_xlfn.LET(_xlpm.h,_FV(D7,"Headquarters"),_xlpm.p,TRIM(_xlfn.TEXTSPLIT(_xlpm.h,",")),_xlpm.n,COLUMNS(_xlpm.p),_xlpm.z,INDEX(_xlpm.p,1,_xlpm.n),_xlpm.c,INDEX(_xlpm.p,1,_xlpm.n-2),_xlpm.s,INDEX(_xlpm.p,1,_xlpm.n-1),IF(_xlpm.n&lt;4,_xlpm.s,IF(RIGHT(_xlpm.z,2)="IE",_xlpm.s&amp;", "&amp;_xlfn.TEXTBEFORE(_xlpm.z," ",-1),IF(UPPER(LEFT(_xlpm.c,3))="BOX",_xlpm.s,_xlpm.c&amp;", "&amp;_xlpm.s)))),"")</f>
        <v>JUNO BEACH, FL</v>
      </c>
      <c r="G7" s="5" cm="1">
        <f t="array" aca="1" ref="G7" ca="1">_FV(D7,"price")</f>
        <v>77.02</v>
      </c>
      <c r="H7" s="6" cm="1">
        <f t="array" aca="1" ref="H7" ca="1">_FV(D7,"Shares outstanding",TRUE)/1000</f>
        <v>2085978</v>
      </c>
      <c r="I7" s="7">
        <f t="shared" ca="1" si="0"/>
        <v>160662025.56</v>
      </c>
    </row>
    <row r="8" spans="2:12" x14ac:dyDescent="0.2">
      <c r="B8" s="1" t="s">
        <v>18</v>
      </c>
      <c r="C8" s="2" t="s">
        <v>19</v>
      </c>
      <c r="D8" s="4" t="e" vm="6">
        <v>#VALUE!</v>
      </c>
      <c r="E8" s="1" t="str" cm="1">
        <f t="array" aca="1" ref="E8" ca="1">_FV(D8,"Industry")</f>
        <v>Electrical Utilities &amp; IPPs</v>
      </c>
      <c r="F8" t="str" cm="1">
        <f t="array" aca="1" ref="F8" ca="1">IFERROR(_xlfn.LET(_xlpm.h,_FV(D8,"Headquarters"),_xlpm.p,TRIM(_xlfn.TEXTSPLIT(_xlpm.h,",")),_xlpm.n,COLUMNS(_xlpm.p),_xlpm.z,INDEX(_xlpm.p,1,_xlpm.n),_xlpm.c,INDEX(_xlpm.p,1,_xlpm.n-2),_xlpm.s,INDEX(_xlpm.p,1,_xlpm.n-1),IF(_xlpm.n&lt;4,_xlpm.s,IF(RIGHT(_xlpm.z,2)="IE",_xlpm.s&amp;", "&amp;_xlfn.TEXTBEFORE(_xlpm.z," ",-1),IF(UPPER(LEFT(_xlpm.c,3))="BOX",_xlpm.s,_xlpm.c&amp;", "&amp;_xlpm.s)))),"")</f>
        <v>BALTIMORE, MD</v>
      </c>
      <c r="G8" s="5" cm="1">
        <f t="array" aca="1" ref="G8" ca="1">_FV(D8,"price")</f>
        <v>263.88</v>
      </c>
      <c r="H8" s="6" cm="1">
        <f t="array" aca="1" ref="H8" ca="1">_FV(D8,"Shares outstanding",TRUE)/1000</f>
        <v>354307.4</v>
      </c>
      <c r="I8" s="7">
        <f t="shared" ca="1" si="0"/>
        <v>93494636.711999997</v>
      </c>
    </row>
    <row r="9" spans="2:12" x14ac:dyDescent="0.2">
      <c r="B9" s="1" t="s">
        <v>20</v>
      </c>
      <c r="C9" s="2" t="s">
        <v>21</v>
      </c>
      <c r="D9" s="4" t="e" vm="7">
        <v>#VALUE!</v>
      </c>
      <c r="E9" s="1" t="str" cm="1">
        <f t="array" aca="1" ref="E9" ca="1">_FV(D9,"Industry")</f>
        <v>Electrical Utilities &amp; IPPs</v>
      </c>
      <c r="F9" t="str" cm="1">
        <f t="array" aca="1" ref="F9" ca="1">IFERROR(_xlfn.LET(_xlpm.h,_FV(D9,"Headquarters"),_xlpm.p,TRIM(_xlfn.TEXTSPLIT(_xlpm.h,",")),_xlpm.n,COLUMNS(_xlpm.p),_xlpm.z,INDEX(_xlpm.p,1,_xlpm.n),_xlpm.c,INDEX(_xlpm.p,1,_xlpm.n-2),_xlpm.s,INDEX(_xlpm.p,1,_xlpm.n-1),IF(_xlpm.n&lt;4,_xlpm.s,IF(RIGHT(_xlpm.z,2)="IE",_xlpm.s&amp;", "&amp;_xlfn.TEXTBEFORE(_xlpm.z," ",-1),IF(UPPER(LEFT(_xlpm.c,3))="BOX",_xlpm.s,_xlpm.c&amp;", "&amp;_xlpm.s)))),"")</f>
        <v>OAKLAND, CA</v>
      </c>
      <c r="G9" s="5" cm="1">
        <f t="array" aca="1" ref="G9" ca="1">_FV(D9,"price")</f>
        <v>12.41</v>
      </c>
      <c r="H9" s="6" cm="1">
        <f t="array" aca="1" ref="H9" ca="1">_FV(D9,"Shares outstanding",TRUE)/1000</f>
        <v>2202367</v>
      </c>
      <c r="I9" s="7">
        <f t="shared" ca="1" si="0"/>
        <v>27331374.469999999</v>
      </c>
    </row>
    <row r="10" spans="2:12" x14ac:dyDescent="0.2">
      <c r="B10" s="1" t="s">
        <v>22</v>
      </c>
      <c r="C10" s="2" t="s">
        <v>23</v>
      </c>
      <c r="D10" s="4" t="e" vm="8">
        <v>#VALUE!</v>
      </c>
      <c r="E10" s="1" t="str" cm="1">
        <f t="array" aca="1" ref="E10" ca="1">_FV(D10,"Industry")</f>
        <v>Electrical Utilities &amp; IPPs</v>
      </c>
      <c r="F10" t="str" cm="1">
        <f t="array" aca="1" ref="F10" ca="1">IFERROR(_xlfn.LET(_xlpm.h,_FV(D10,"Headquarters"),_xlpm.p,TRIM(_xlfn.TEXTSPLIT(_xlpm.h,",")),_xlpm.n,COLUMNS(_xlpm.p),_xlpm.z,INDEX(_xlpm.p,1,_xlpm.n),_xlpm.c,INDEX(_xlpm.p,1,_xlpm.n-2),_xlpm.s,INDEX(_xlpm.p,1,_xlpm.n-1),IF(_xlpm.n&lt;4,_xlpm.s,IF(RIGHT(_xlpm.z,2)="IE",_xlpm.s&amp;", "&amp;_xlfn.TEXTBEFORE(_xlpm.z," ",-1),IF(UPPER(LEFT(_xlpm.c,3))="BOX",_xlpm.s,_xlpm.c&amp;", "&amp;_xlpm.s)))),"")</f>
        <v>CHICAGO, IL</v>
      </c>
      <c r="G10" s="5" cm="1">
        <f t="array" aca="1" ref="G10" ca="1">_FV(D10,"price")</f>
        <v>40.69</v>
      </c>
      <c r="H10" s="6" cm="1">
        <f t="array" aca="1" ref="H10" ca="1">_FV(D10,"Shares outstanding",TRUE)/1000</f>
        <v>1032254</v>
      </c>
      <c r="I10" s="7">
        <f t="shared" ca="1" si="0"/>
        <v>42002415.259999998</v>
      </c>
    </row>
    <row r="11" spans="2:12" x14ac:dyDescent="0.2">
      <c r="B11" s="1" t="s">
        <v>24</v>
      </c>
      <c r="C11" s="2" t="s">
        <v>25</v>
      </c>
      <c r="D11" s="4" t="e" vm="9">
        <v>#VALUE!</v>
      </c>
      <c r="E11" s="1" t="str" cm="1">
        <f t="array" aca="1" ref="E11" ca="1">_FV(D11,"Industry")</f>
        <v>Electrical Utilities &amp; IPPs</v>
      </c>
      <c r="F11" t="str" cm="1">
        <f t="array" aca="1" ref="F11" ca="1">IFERROR(_xlfn.LET(_xlpm.h,_FV(D11,"Headquarters"),_xlpm.p,TRIM(_xlfn.TEXTSPLIT(_xlpm.h,",")),_xlpm.n,COLUMNS(_xlpm.p),_xlpm.z,INDEX(_xlpm.p,1,_xlpm.n),_xlpm.c,INDEX(_xlpm.p,1,_xlpm.n-2),_xlpm.s,INDEX(_xlpm.p,1,_xlpm.n-1),IF(_xlpm.n&lt;4,_xlpm.s,IF(RIGHT(_xlpm.z,2)="IE",_xlpm.s&amp;", "&amp;_xlfn.TEXTBEFORE(_xlpm.z," ",-1),IF(UPPER(LEFT(_xlpm.c,3))="BOX",_xlpm.s,_xlpm.c&amp;", "&amp;_xlpm.s)))),"")</f>
        <v>COLUMBUS, OH</v>
      </c>
      <c r="G11" s="5" cm="1">
        <f t="array" aca="1" ref="G11" ca="1">_FV(D11,"price")</f>
        <v>118.4</v>
      </c>
      <c r="H11" s="6" cm="1">
        <f t="array" aca="1" ref="H11" ca="1">_FV(D11,"Shares outstanding",TRUE)/1000</f>
        <v>544397.30000000005</v>
      </c>
      <c r="I11" s="7">
        <f t="shared" ca="1" si="0"/>
        <v>64456640.320000008</v>
      </c>
    </row>
    <row r="12" spans="2:12" x14ac:dyDescent="0.2">
      <c r="B12" s="1" t="s">
        <v>26</v>
      </c>
      <c r="C12" s="2" t="s">
        <v>27</v>
      </c>
      <c r="D12" s="4" t="e" vm="10">
        <v>#VALUE!</v>
      </c>
      <c r="E12" s="1" t="str" cm="1">
        <f t="array" aca="1" ref="E12" ca="1">_FV(D12,"Industry")</f>
        <v>Electrical Utilities &amp; IPPs</v>
      </c>
      <c r="F12" t="str" cm="1">
        <f t="array" aca="1" ref="F12" ca="1">IFERROR(_xlfn.LET(_xlpm.h,_FV(D12,"Headquarters"),_xlpm.p,TRIM(_xlfn.TEXTSPLIT(_xlpm.h,",")),_xlpm.n,COLUMNS(_xlpm.p),_xlpm.z,INDEX(_xlpm.p,1,_xlpm.n),_xlpm.c,INDEX(_xlpm.p,1,_xlpm.n-2),_xlpm.s,INDEX(_xlpm.p,1,_xlpm.n-1),IF(_xlpm.n&lt;4,_xlpm.s,IF(RIGHT(_xlpm.z,2)="IE",_xlpm.s&amp;", "&amp;_xlfn.TEXTBEFORE(_xlpm.z," ",-1),IF(UPPER(LEFT(_xlpm.c,3))="BOX",_xlpm.s,_xlpm.c&amp;", "&amp;_xlpm.s)))),"")</f>
        <v>ROSEMEAD, CA</v>
      </c>
      <c r="G12" s="5" cm="1">
        <f t="array" aca="1" ref="G12" ca="1">_FV(D12,"price")</f>
        <v>53.51</v>
      </c>
      <c r="H12" s="6" cm="1">
        <f t="array" aca="1" ref="H12" ca="1">_FV(D12,"Shares outstanding",TRUE)/1000</f>
        <v>384814</v>
      </c>
      <c r="I12" s="7">
        <f t="shared" ca="1" si="0"/>
        <v>20591397.140000001</v>
      </c>
    </row>
    <row r="13" spans="2:12" x14ac:dyDescent="0.2">
      <c r="B13" s="1" t="s">
        <v>28</v>
      </c>
      <c r="C13" s="2" t="s">
        <v>29</v>
      </c>
      <c r="D13" s="4" t="e" vm="11">
        <v>#VALUE!</v>
      </c>
      <c r="E13" s="1" t="str" cm="1">
        <f t="array" aca="1" ref="E13" ca="1">_FV(D13,"Industry")</f>
        <v>Machinery, Equipment &amp; Components</v>
      </c>
      <c r="F13" t="str" cm="1">
        <f t="array" aca="1" ref="F13" ca="1">IFERROR(_xlfn.LET(_xlpm.h,_FV(D13,"Headquarters"),_xlpm.p,TRIM(_xlfn.TEXTSPLIT(_xlpm.h,",")),_xlpm.n,COLUMNS(_xlpm.p),_xlpm.z,INDEX(_xlpm.p,1,_xlpm.n),_xlpm.c,INDEX(_xlpm.p,1,_xlpm.n-2),_xlpm.s,INDEX(_xlpm.p,1,_xlpm.n-1),IF(_xlpm.n&lt;4,_xlpm.s,IF(RIGHT(_xlpm.z,2)="IE",_xlpm.s&amp;", "&amp;_xlfn.TEXTBEFORE(_xlpm.z," ",-1),IF(UPPER(LEFT(_xlpm.c,3))="BOX",_xlpm.s,_xlpm.c&amp;", "&amp;_xlpm.s)))),"")</f>
        <v>ST. LOUIS, MO</v>
      </c>
      <c r="G13" s="5" cm="1">
        <f t="array" aca="1" ref="G13" ca="1">_FV(D13,"price")</f>
        <v>154.59</v>
      </c>
      <c r="H13" s="6" cm="1">
        <f t="array" aca="1" ref="H13" ca="1">_FV(D13,"Shares outstanding",TRUE)/1000</f>
        <v>557800</v>
      </c>
      <c r="I13" s="7">
        <f t="shared" ca="1" si="0"/>
        <v>86230302</v>
      </c>
    </row>
    <row r="14" spans="2:12" x14ac:dyDescent="0.2">
      <c r="B14" s="1" t="s">
        <v>30</v>
      </c>
      <c r="C14" s="2" t="s">
        <v>31</v>
      </c>
      <c r="D14" s="4" t="e" vm="12">
        <v>#VALUE!</v>
      </c>
      <c r="E14" s="1" t="str" cm="1">
        <f t="array" aca="1" ref="E14" ca="1">_FV(D14,"Industry")</f>
        <v>Electrical Utilities &amp; IPPs</v>
      </c>
      <c r="F14" t="str" cm="1">
        <f t="array" aca="1" ref="F14" ca="1">IFERROR(_xlfn.LET(_xlpm.h,_FV(D14,"Headquarters"),_xlpm.p,TRIM(_xlfn.TEXTSPLIT(_xlpm.h,",")),_xlpm.n,COLUMNS(_xlpm.p),_xlpm.z,INDEX(_xlpm.p,1,_xlpm.n),_xlpm.c,INDEX(_xlpm.p,1,_xlpm.n-2),_xlpm.s,INDEX(_xlpm.p,1,_xlpm.n-1),IF(_xlpm.n&lt;4,_xlpm.s,IF(RIGHT(_xlpm.z,2)="IE",_xlpm.s&amp;", "&amp;_xlfn.TEXTBEFORE(_xlpm.z," ",-1),IF(UPPER(LEFT(_xlpm.c,3))="BOX",_xlpm.s,_xlpm.c&amp;", "&amp;_xlpm.s)))),"")</f>
        <v>IRVING, TX</v>
      </c>
      <c r="G14" s="5" cm="1">
        <f t="array" aca="1" ref="G14" ca="1">_FV(D14,"price")</f>
        <v>137.97</v>
      </c>
      <c r="H14" s="6" cm="1">
        <f t="array" aca="1" ref="H14" ca="1">_FV(D14,"Shares outstanding",TRUE)/1000</f>
        <v>335635.20000000001</v>
      </c>
      <c r="I14" s="7">
        <f t="shared" ca="1" si="0"/>
        <v>46307588.544</v>
      </c>
    </row>
    <row r="15" spans="2:12" x14ac:dyDescent="0.2">
      <c r="B15" s="1" t="s">
        <v>32</v>
      </c>
      <c r="C15" s="2" t="s">
        <v>33</v>
      </c>
      <c r="D15" s="4" t="e" vm="13">
        <v>#VALUE!</v>
      </c>
      <c r="E15" s="1" t="str" cm="1">
        <f t="array" aca="1" ref="E15" ca="1">_FV(D15,"Industry")</f>
        <v>Electrical Utilities &amp; IPPs</v>
      </c>
      <c r="F15" t="str" cm="1">
        <f t="array" aca="1" ref="F15" ca="1">IFERROR(_xlfn.LET(_xlpm.h,_FV(D15,"Headquarters"),_xlpm.p,TRIM(_xlfn.TEXTSPLIT(_xlpm.h,",")),_xlpm.n,COLUMNS(_xlpm.p),_xlpm.z,INDEX(_xlpm.p,1,_xlpm.n),_xlpm.c,INDEX(_xlpm.p,1,_xlpm.n-2),_xlpm.s,INDEX(_xlpm.p,1,_xlpm.n-1),IF(_xlpm.n&lt;4,_xlpm.s,IF(RIGHT(_xlpm.z,2)="IE",_xlpm.s&amp;", "&amp;_xlfn.TEXTBEFORE(_xlpm.z," ",-1),IF(UPPER(LEFT(_xlpm.c,3))="BOX",_xlpm.s,_xlpm.c&amp;", "&amp;_xlpm.s)))),"")</f>
        <v>AKRON, OH</v>
      </c>
      <c r="G15" s="5" cm="1">
        <f t="array" aca="1" ref="G15" ca="1">_FV(D15,"price")</f>
        <v>43.65</v>
      </c>
      <c r="H15" s="6" cm="1">
        <f t="array" aca="1" ref="H15" ca="1">_FV(D15,"Shares outstanding",TRUE)/1000</f>
        <v>578640</v>
      </c>
      <c r="I15" s="7">
        <f t="shared" ca="1" si="0"/>
        <v>25257636</v>
      </c>
    </row>
    <row r="16" spans="2:12" x14ac:dyDescent="0.2">
      <c r="B16" s="1" t="s">
        <v>34</v>
      </c>
      <c r="C16" s="2" t="s">
        <v>35</v>
      </c>
      <c r="D16" s="4" t="e" vm="14">
        <v>#VALUE!</v>
      </c>
      <c r="E16" s="1" t="str" cm="1">
        <f t="array" aca="1" ref="E16" ca="1">_FV(D16,"Industry")</f>
        <v>Electrical Utilities &amp; IPPs</v>
      </c>
      <c r="F16" t="str" cm="1">
        <f t="array" aca="1" ref="F16" ca="1">IFERROR(_xlfn.LET(_xlpm.h,_FV(D16,"Headquarters"),_xlpm.p,TRIM(_xlfn.TEXTSPLIT(_xlpm.h,",")),_xlpm.n,COLUMNS(_xlpm.p),_xlpm.z,INDEX(_xlpm.p,1,_xlpm.n),_xlpm.c,INDEX(_xlpm.p,1,_xlpm.n-2),_xlpm.s,INDEX(_xlpm.p,1,_xlpm.n-1),IF(_xlpm.n&lt;4,_xlpm.s,IF(RIGHT(_xlpm.z,2)="IE",_xlpm.s&amp;", "&amp;_xlfn.TEXTBEFORE(_xlpm.z," ",-1),IF(UPPER(LEFT(_xlpm.c,3))="BOX",_xlpm.s,_xlpm.c&amp;", "&amp;_xlpm.s)))),"")</f>
        <v>MINNEAPOLIS, MN</v>
      </c>
      <c r="G16" s="5" cm="1">
        <f t="array" aca="1" ref="G16" ca="1">_FV(D16,"price")</f>
        <v>70.66</v>
      </c>
      <c r="H16" s="6" cm="1">
        <f t="array" aca="1" ref="H16" ca="1">_FV(D16,"Shares outstanding",TRUE)/1000</f>
        <v>624634.30000000005</v>
      </c>
      <c r="I16" s="7">
        <f t="shared" ca="1" si="0"/>
        <v>44136659.638000004</v>
      </c>
    </row>
    <row r="17" spans="2:9" x14ac:dyDescent="0.2">
      <c r="B17" s="1" t="s">
        <v>36</v>
      </c>
      <c r="C17" s="2" t="s">
        <v>37</v>
      </c>
      <c r="D17" s="4" t="e" vm="15">
        <v>#VALUE!</v>
      </c>
      <c r="E17" s="1" t="str" cm="1">
        <f t="array" aca="1" ref="E17" ca="1">_FV(D17,"Industry")</f>
        <v>Electrical Utilities &amp; IPPs</v>
      </c>
      <c r="F17" t="str" cm="1">
        <f t="array" aca="1" ref="F17" ca="1">IFERROR(_xlfn.LET(_xlpm.h,_FV(D17,"Headquarters"),_xlpm.p,TRIM(_xlfn.TEXTSPLIT(_xlpm.h,",")),_xlpm.n,COLUMNS(_xlpm.p),_xlpm.z,INDEX(_xlpm.p,1,_xlpm.n),_xlpm.c,INDEX(_xlpm.p,1,_xlpm.n-2),_xlpm.s,INDEX(_xlpm.p,1,_xlpm.n-1),IF(_xlpm.n&lt;4,_xlpm.s,IF(RIGHT(_xlpm.z,2)="IE",_xlpm.s&amp;", "&amp;_xlfn.TEXTBEFORE(_xlpm.z," ",-1),IF(UPPER(LEFT(_xlpm.c,3))="BOX",_xlpm.s,_xlpm.c&amp;", "&amp;_xlpm.s)))),"")</f>
        <v>SPRINGFIELD, MA</v>
      </c>
      <c r="G17" s="5" cm="1">
        <f t="array" aca="1" ref="G17" ca="1">_FV(D17,"price")</f>
        <v>64.91</v>
      </c>
      <c r="H17" s="6" cm="1">
        <f t="array" aca="1" ref="H17" ca="1">_FV(D17,"Shares outstanding",TRUE)/1000</f>
        <v>376674.7</v>
      </c>
      <c r="I17" s="7">
        <f t="shared" ca="1" si="0"/>
        <v>24449954.776999999</v>
      </c>
    </row>
    <row r="18" spans="2:9" x14ac:dyDescent="0.2">
      <c r="B18" s="1" t="s">
        <v>38</v>
      </c>
      <c r="C18" s="2" t="s">
        <v>39</v>
      </c>
      <c r="D18" s="4" t="e" vm="16">
        <v>#VALUE!</v>
      </c>
      <c r="E18" s="1" t="str" cm="1">
        <f t="array" aca="1" ref="E18" ca="1">_FV(D18,"Industry")</f>
        <v>Electrical Utilities &amp; IPPs</v>
      </c>
      <c r="F18" t="str" cm="1">
        <f t="array" aca="1" ref="F18" ca="1">IFERROR(_xlfn.LET(_xlpm.h,_FV(D18,"Headquarters"),_xlpm.p,TRIM(_xlfn.TEXTSPLIT(_xlpm.h,",")),_xlpm.n,COLUMNS(_xlpm.p),_xlpm.z,INDEX(_xlpm.p,1,_xlpm.n),_xlpm.c,INDEX(_xlpm.p,1,_xlpm.n-2),_xlpm.s,INDEX(_xlpm.p,1,_xlpm.n-1),IF(_xlpm.n&lt;4,_xlpm.s,IF(RIGHT(_xlpm.z,2)="IE",_xlpm.s&amp;", "&amp;_xlfn.TEXTBEFORE(_xlpm.z," ",-1),IF(UPPER(LEFT(_xlpm.c,3))="BOX",_xlpm.s,_xlpm.c&amp;", "&amp;_xlpm.s)))),"")</f>
        <v>NEW ORLEANS, LA</v>
      </c>
      <c r="G18" s="5" cm="1">
        <f t="array" aca="1" ref="G18" ca="1">_FV(D18,"price")</f>
        <v>99.23</v>
      </c>
      <c r="H18" s="6" cm="1">
        <f t="array" aca="1" ref="H18" ca="1">_FV(D18,"Shares outstanding",TRUE)/1000</f>
        <v>477777.5</v>
      </c>
      <c r="I18" s="7">
        <f t="shared" ca="1" si="0"/>
        <v>47409861.325000003</v>
      </c>
    </row>
    <row r="19" spans="2:9" x14ac:dyDescent="0.2">
      <c r="B19" s="1" t="s">
        <v>40</v>
      </c>
      <c r="C19" s="2" t="s">
        <v>41</v>
      </c>
      <c r="D19" s="4" t="e" vm="17">
        <v>#VALUE!</v>
      </c>
      <c r="E19" s="1" t="str" cm="1">
        <f t="array" aca="1" ref="E19" ca="1">_FV(D19,"Industry")</f>
        <v>Electrical Utilities &amp; IPPs</v>
      </c>
      <c r="F19" t="str" cm="1">
        <f t="array" aca="1" ref="F19" ca="1">IFERROR(_xlfn.LET(_xlpm.h,_FV(D19,"Headquarters"),_xlpm.p,TRIM(_xlfn.TEXTSPLIT(_xlpm.h,",")),_xlpm.n,COLUMNS(_xlpm.p),_xlpm.z,INDEX(_xlpm.p,1,_xlpm.n),_xlpm.c,INDEX(_xlpm.p,1,_xlpm.n-2),_xlpm.s,INDEX(_xlpm.p,1,_xlpm.n-1),IF(_xlpm.n&lt;4,_xlpm.s,IF(RIGHT(_xlpm.z,2)="IE",_xlpm.s&amp;", "&amp;_xlfn.TEXTBEFORE(_xlpm.z," ",-1),IF(UPPER(LEFT(_xlpm.c,3))="BOX",_xlpm.s,_xlpm.c&amp;", "&amp;_xlpm.s)))),"")</f>
        <v>ARLINGTON, VA</v>
      </c>
      <c r="G19" s="5" cm="1">
        <f t="array" aca="1" ref="G19" ca="1">_FV(D19,"price")</f>
        <v>14.81</v>
      </c>
      <c r="H19" s="6" cm="1">
        <f t="array" aca="1" ref="H19" ca="1">_FV(D19,"Shares outstanding",TRUE)/1000</f>
        <v>713438.7</v>
      </c>
      <c r="I19" s="7">
        <f t="shared" ca="1" si="0"/>
        <v>10566027.147</v>
      </c>
    </row>
    <row r="20" spans="2:9" x14ac:dyDescent="0.2">
      <c r="B20" s="1" t="s">
        <v>42</v>
      </c>
      <c r="C20" s="2" t="s">
        <v>43</v>
      </c>
      <c r="D20" s="4" t="e" vm="18">
        <v>#VALUE!</v>
      </c>
      <c r="E20" s="1" t="str" cm="1">
        <f t="array" aca="1" ref="E20" ca="1">_FV(D20,"Industry")</f>
        <v>Machinery, Equipment &amp; Components</v>
      </c>
      <c r="F20" t="str" cm="1">
        <f t="array" aca="1" ref="F20" ca="1">IFERROR(_xlfn.LET(_xlpm.h,_FV(D20,"Headquarters"),_xlpm.p,TRIM(_xlfn.TEXTSPLIT(_xlpm.h,",")),_xlpm.n,COLUMNS(_xlpm.p),_xlpm.z,INDEX(_xlpm.p,1,_xlpm.n),_xlpm.c,INDEX(_xlpm.p,1,_xlpm.n-2),_xlpm.s,INDEX(_xlpm.p,1,_xlpm.n-1),IF(_xlpm.n&lt;4,_xlpm.s,IF(RIGHT(_xlpm.z,2)="IE",_xlpm.s&amp;", "&amp;_xlfn.TEXTBEFORE(_xlpm.z," ",-1),IF(UPPER(LEFT(_xlpm.c,3))="BOX",_xlpm.s,_xlpm.c&amp;", "&amp;_xlpm.s)))),"")</f>
        <v>WESTERVILLE, OH</v>
      </c>
      <c r="G20" s="5" cm="1">
        <f t="array" aca="1" ref="G20" ca="1">_FV(D20,"price")</f>
        <v>248.78</v>
      </c>
      <c r="H20" s="6" cm="1">
        <f t="array" aca="1" ref="H20" ca="1">_FV(D20,"Shares outstanding",TRUE)/1000</f>
        <v>384988.2</v>
      </c>
      <c r="I20" s="7">
        <f t="shared" ca="1" si="0"/>
        <v>95777364.395999998</v>
      </c>
    </row>
    <row r="21" spans="2:9" x14ac:dyDescent="0.2">
      <c r="B21" s="1" t="s">
        <v>44</v>
      </c>
      <c r="C21" s="2" t="s">
        <v>45</v>
      </c>
      <c r="D21" s="4" t="e" vm="19">
        <v>#VALUE!</v>
      </c>
      <c r="E21" s="1" t="str" cm="1">
        <f t="array" aca="1" ref="E21" ca="1">_FV(D21,"Industry")</f>
        <v>Multiline Utilities</v>
      </c>
      <c r="F21" t="str" cm="1">
        <f t="array" aca="1" ref="F21" ca="1">IFERROR(_xlfn.LET(_xlpm.h,_FV(D21,"Headquarters"),_xlpm.p,TRIM(_xlfn.TEXTSPLIT(_xlpm.h,",")),_xlpm.n,COLUMNS(_xlpm.p),_xlpm.z,INDEX(_xlpm.p,1,_xlpm.n),_xlpm.c,INDEX(_xlpm.p,1,_xlpm.n-2),_xlpm.s,INDEX(_xlpm.p,1,_xlpm.n-1),IF(_xlpm.n&lt;4,_xlpm.s,IF(RIGHT(_xlpm.z,2)="IE",_xlpm.s&amp;", "&amp;_xlfn.TEXTBEFORE(_xlpm.z," ",-1),IF(UPPER(LEFT(_xlpm.c,3))="BOX",_xlpm.s,_xlpm.c&amp;", "&amp;_xlpm.s)))),"")</f>
        <v>ALLENTOWN, PA</v>
      </c>
      <c r="G21" s="5" cm="1">
        <f t="array" aca="1" ref="G21" ca="1">_FV(D21,"price")</f>
        <v>32.25</v>
      </c>
      <c r="H21" s="6" cm="1">
        <f t="array" aca="1" ref="H21" ca="1">_FV(D21,"Shares outstanding",TRUE)/1000</f>
        <v>752544.9</v>
      </c>
      <c r="I21" s="7">
        <f t="shared" ca="1" si="0"/>
        <v>24269573.025000002</v>
      </c>
    </row>
    <row r="22" spans="2:9" x14ac:dyDescent="0.2">
      <c r="B22" s="1" t="s">
        <v>46</v>
      </c>
      <c r="C22" s="2" t="s">
        <v>47</v>
      </c>
      <c r="D22" s="4" t="e" vm="20">
        <v>#VALUE!</v>
      </c>
      <c r="E22" s="1" t="str" cm="1">
        <f t="array" aca="1" ref="E22" ca="1">_FV(D22,"Industry")</f>
        <v>Electrical Utilities &amp; IPPs</v>
      </c>
      <c r="F22" t="str" cm="1">
        <f t="array" aca="1" ref="F22" ca="1">IFERROR(_xlfn.LET(_xlpm.h,_FV(D22,"Headquarters"),_xlpm.p,TRIM(_xlfn.TEXTSPLIT(_xlpm.h,",")),_xlpm.n,COLUMNS(_xlpm.p),_xlpm.z,INDEX(_xlpm.p,1,_xlpm.n),_xlpm.c,INDEX(_xlpm.p,1,_xlpm.n-2),_xlpm.s,INDEX(_xlpm.p,1,_xlpm.n-1),IF(_xlpm.n&lt;4,_xlpm.s,IF(RIGHT(_xlpm.z,2)="IE",_xlpm.s&amp;", "&amp;_xlfn.TEXTBEFORE(_xlpm.z," ",-1),IF(UPPER(LEFT(_xlpm.c,3))="BOX",_xlpm.s,_xlpm.c&amp;", "&amp;_xlpm.s)))),"")</f>
        <v>ST. JOHNS, NL</v>
      </c>
      <c r="G22" s="5" cm="1">
        <f t="array" aca="1" ref="G22" ca="1">_FV(D22,"price")</f>
        <v>75.19</v>
      </c>
      <c r="H22" s="6" cm="1">
        <f t="array" aca="1" ref="H22" ca="1">_FV(D22,"Shares outstanding",TRUE)/1000</f>
        <v>513655.6</v>
      </c>
      <c r="I22" s="7">
        <f t="shared" ca="1" si="0"/>
        <v>38621764.563999996</v>
      </c>
    </row>
    <row r="23" spans="2:9" x14ac:dyDescent="0.2">
      <c r="B23" s="1" t="s">
        <v>48</v>
      </c>
      <c r="C23" s="2" t="s">
        <v>49</v>
      </c>
      <c r="D23" s="4" t="e" vm="21">
        <v>#VALUE!</v>
      </c>
      <c r="E23" s="1" t="str" cm="1">
        <f t="array" aca="1" ref="E23" ca="1">_FV(D23,"Industry")</f>
        <v>Machinery, Equipment &amp; Components</v>
      </c>
      <c r="F23" t="str" cm="1">
        <f t="array" aca="1" ref="F23" ca="1">IFERROR(_xlfn.LET(_xlpm.h,_FV(D23,"Headquarters"),_xlpm.p,TRIM(_xlfn.TEXTSPLIT(_xlpm.h,",")),_xlpm.n,COLUMNS(_xlpm.p),_xlpm.z,INDEX(_xlpm.p,1,_xlpm.n),_xlpm.c,INDEX(_xlpm.p,1,_xlpm.n-2),_xlpm.s,INDEX(_xlpm.p,1,_xlpm.n-1),IF(_xlpm.n&lt;4,_xlpm.s,IF(RIGHT(_xlpm.z,2)="IE",_xlpm.s&amp;", "&amp;_xlfn.TEXTBEFORE(_xlpm.z," ",-1),IF(UPPER(LEFT(_xlpm.c,3))="BOX",_xlpm.s,_xlpm.c&amp;", "&amp;_xlpm.s)))),"")</f>
        <v>MILWAUKEE, WI</v>
      </c>
      <c r="G23" s="5" cm="1">
        <f t="array" aca="1" ref="G23" ca="1">_FV(D23,"price")</f>
        <v>432.89</v>
      </c>
      <c r="H23" s="6" cm="1">
        <f t="array" aca="1" ref="H23" ca="1">_FV(D23,"Shares outstanding",TRUE)/1000</f>
        <v>111048.7</v>
      </c>
      <c r="I23" s="7">
        <f t="shared" ca="1" si="0"/>
        <v>48071871.743000001</v>
      </c>
    </row>
    <row r="24" spans="2:9" x14ac:dyDescent="0.2">
      <c r="B24" s="1" t="s">
        <v>50</v>
      </c>
      <c r="C24" s="2" t="s">
        <v>51</v>
      </c>
      <c r="D24" s="4" t="e" vm="22">
        <v>#VALUE!</v>
      </c>
      <c r="E24" s="1" t="str" cm="1">
        <f t="array" aca="1" ref="E24" ca="1">_FV(D24,"Industry")</f>
        <v>Machinery, Equipment &amp; Components</v>
      </c>
      <c r="F24" t="str" cm="1">
        <f t="array" aca="1" ref="F24" ca="1">IFERROR(_xlfn.LET(_xlpm.h,_FV(D24,"Headquarters"),_xlpm.p,TRIM(_xlfn.TEXTSPLIT(_xlpm.h,",")),_xlpm.n,COLUMNS(_xlpm.p),_xlpm.z,INDEX(_xlpm.p,1,_xlpm.n),_xlpm.c,INDEX(_xlpm.p,1,_xlpm.n-2),_xlpm.s,INDEX(_xlpm.p,1,_xlpm.n-1),IF(_xlpm.n&lt;4,_xlpm.s,IF(RIGHT(_xlpm.z,2)="IE",_xlpm.s&amp;", "&amp;_xlfn.TEXTBEFORE(_xlpm.z," ",-1),IF(UPPER(LEFT(_xlpm.c,3))="BOX",_xlpm.s,_xlpm.c&amp;", "&amp;_xlpm.s)))),"")</f>
        <v>BERWYN, PA</v>
      </c>
      <c r="G24" s="5" cm="1">
        <f t="array" aca="1" ref="G24" ca="1">_FV(D24,"price")</f>
        <v>246.45</v>
      </c>
      <c r="H24" s="6" cm="1">
        <f t="array" aca="1" ref="H24" ca="1">_FV(D24,"Shares outstanding",TRUE)/1000</f>
        <v>229261.2</v>
      </c>
      <c r="I24" s="7">
        <f t="shared" ca="1" si="0"/>
        <v>56501422.740000002</v>
      </c>
    </row>
    <row r="25" spans="2:9" x14ac:dyDescent="0.2">
      <c r="B25" s="1" t="s">
        <v>52</v>
      </c>
      <c r="C25" s="2" t="s">
        <v>53</v>
      </c>
      <c r="D25" s="4" t="e" vm="23">
        <v>#VALUE!</v>
      </c>
      <c r="E25" s="1" t="str" cm="1">
        <f t="array" aca="1" ref="E25" ca="1">_FV(D25,"Industry")</f>
        <v>Electrical Utilities &amp; IPPs</v>
      </c>
      <c r="F25" t="str" cm="1">
        <f t="array" aca="1" ref="F25" ca="1">IFERROR(_xlfn.LET(_xlpm.h,_FV(D25,"Headquarters"),_xlpm.p,TRIM(_xlfn.TEXTSPLIT(_xlpm.h,",")),_xlpm.n,COLUMNS(_xlpm.p),_xlpm.z,INDEX(_xlpm.p,1,_xlpm.n),_xlpm.c,INDEX(_xlpm.p,1,_xlpm.n-2),_xlpm.s,INDEX(_xlpm.p,1,_xlpm.n-1),IF(_xlpm.n&lt;4,_xlpm.s,IF(RIGHT(_xlpm.z,2)="IE",_xlpm.s&amp;", "&amp;_xlfn.TEXTBEFORE(_xlpm.z," ",-1),IF(UPPER(LEFT(_xlpm.c,3))="BOX",_xlpm.s,_xlpm.c&amp;", "&amp;_xlpm.s)))),"")</f>
        <v>TORONTO, ON</v>
      </c>
      <c r="G25" s="5" cm="1">
        <f t="array" aca="1" ref="G25" ca="1">_FV(D25,"price")</f>
        <v>51.14</v>
      </c>
      <c r="H25" s="6" cm="1">
        <f t="array" aca="1" ref="H25" ca="1">_FV(D25,"Shares outstanding",TRUE)/1000</f>
        <v>600096.1</v>
      </c>
      <c r="I25" s="7">
        <f t="shared" ca="1" si="0"/>
        <v>30688914.553999998</v>
      </c>
    </row>
    <row r="26" spans="2:9" x14ac:dyDescent="0.2">
      <c r="B26" s="1" t="s">
        <v>54</v>
      </c>
      <c r="C26" s="2" t="s">
        <v>55</v>
      </c>
      <c r="D26" s="4" t="e" vm="24">
        <v>#VALUE!</v>
      </c>
      <c r="E26" s="1"/>
      <c r="F26" t="str" cm="1">
        <f t="array" ref="F26">IFERROR(_xlfn.LET(_xlpm.h,_FV(D26,"Headquarters"),_xlpm.p,TRIM(_xlfn.TEXTSPLIT(_xlpm.h,",")),_xlpm.n,COLUMNS(_xlpm.p),_xlpm.z,INDEX(_xlpm.p,1,_xlpm.n),_xlpm.c,INDEX(_xlpm.p,1,_xlpm.n-2),_xlpm.s,INDEX(_xlpm.p,1,_xlpm.n-1),IF(_xlpm.n&lt;4,_xlpm.s,IF(RIGHT(_xlpm.z,2)="IE",_xlpm.s&amp;", "&amp;_xlfn.TEXTBEFORE(_xlpm.z," ",-1),IF(UPPER(LEFT(_xlpm.c,3))="BOX",_xlpm.s,_xlpm.c&amp;", "&amp;_xlpm.s)))),"")</f>
        <v/>
      </c>
      <c r="G26" s="5" cm="1">
        <f t="array" aca="1" ref="G26" ca="1">_FV(D26,"price")</f>
        <v>40.99</v>
      </c>
      <c r="H26" s="6"/>
      <c r="I26" s="7"/>
    </row>
    <row r="27" spans="2:9" x14ac:dyDescent="0.2">
      <c r="B27" s="1" t="s">
        <v>56</v>
      </c>
      <c r="C27" s="2" t="s">
        <v>57</v>
      </c>
      <c r="D27" s="4" t="e" vm="25">
        <v>#VALUE!</v>
      </c>
      <c r="E27" s="1" t="str" cm="1">
        <f t="array" aca="1" ref="E27" ca="1">_FV(D27,"Industry")</f>
        <v>Electrical Utilities &amp; IPPs</v>
      </c>
      <c r="F27" t="str" cm="1">
        <f t="array" aca="1" ref="F27" ca="1">IFERROR(_xlfn.LET(_xlpm.h,_FV(D27,"Headquarters"),_xlpm.p,TRIM(_xlfn.TEXTSPLIT(_xlpm.h,",")),_xlpm.n,COLUMNS(_xlpm.p),_xlpm.z,INDEX(_xlpm.p,1,_xlpm.n),_xlpm.c,INDEX(_xlpm.p,1,_xlpm.n-2),_xlpm.s,INDEX(_xlpm.p,1,_xlpm.n-1),IF(_xlpm.n&lt;4,_xlpm.s,IF(RIGHT(_xlpm.z,2)="IE",_xlpm.s&amp;", "&amp;_xlfn.TEXTBEFORE(_xlpm.z," ",-1),IF(UPPER(LEFT(_xlpm.c,3))="BOX",_xlpm.s,_xlpm.c&amp;", "&amp;_xlpm.s)))),"")</f>
        <v>HALIFAX, NS</v>
      </c>
      <c r="G27" s="5" cm="1">
        <f t="array" aca="1" ref="G27" ca="1">_FV(D27,"price")</f>
        <v>68.02</v>
      </c>
      <c r="H27" s="6" cm="1">
        <f t="array" aca="1" ref="H27" ca="1">_FV(D27,"Shares outstanding",TRUE)/1000</f>
        <v>308237.5</v>
      </c>
      <c r="I27" s="7">
        <f t="shared" ca="1" si="0"/>
        <v>20966314.75</v>
      </c>
    </row>
    <row r="28" spans="2:9" x14ac:dyDescent="0.2">
      <c r="B28" s="1" t="s">
        <v>58</v>
      </c>
      <c r="C28" s="2" t="s">
        <v>59</v>
      </c>
      <c r="D28" s="4" t="e" vm="26">
        <v>#VALUE!</v>
      </c>
      <c r="E28" s="1" t="str" cm="1">
        <f t="array" aca="1" ref="E28" ca="1">_FV(D28,"Industry")</f>
        <v>Electrical Utilities &amp; IPPs</v>
      </c>
      <c r="F28" t="str" cm="1">
        <f t="array" aca="1" ref="F28" ca="1">IFERROR(_xlfn.LET(_xlpm.h,_FV(D28,"Headquarters"),_xlpm.p,TRIM(_xlfn.TEXTSPLIT(_xlpm.h,",")),_xlpm.n,COLUMNS(_xlpm.p),_xlpm.z,INDEX(_xlpm.p,1,_xlpm.n),_xlpm.c,INDEX(_xlpm.p,1,_xlpm.n-2),_xlpm.s,INDEX(_xlpm.p,1,_xlpm.n-1),IF(_xlpm.n&lt;4,_xlpm.s,IF(RIGHT(_xlpm.z,2)="IE",_xlpm.s&amp;", "&amp;_xlfn.TEXTBEFORE(_xlpm.z," ",-1),IF(UPPER(LEFT(_xlpm.c,3))="BOX",_xlpm.s,_xlpm.c&amp;", "&amp;_xlpm.s)))),"")</f>
        <v>KANSAS CITY, MO</v>
      </c>
      <c r="G28" s="5" cm="1">
        <f t="array" aca="1" ref="G28" ca="1">_FV(D28,"price")</f>
        <v>78.42</v>
      </c>
      <c r="H28" s="6" cm="1">
        <f t="array" aca="1" ref="H28" ca="1">_FV(D28,"Shares outstanding",TRUE)/1000</f>
        <v>230567.2</v>
      </c>
      <c r="I28" s="7">
        <f t="shared" ca="1" si="0"/>
        <v>18081079.824000001</v>
      </c>
    </row>
    <row r="29" spans="2:9" x14ac:dyDescent="0.2">
      <c r="B29" s="1" t="s">
        <v>60</v>
      </c>
      <c r="C29" s="2" t="s">
        <v>61</v>
      </c>
      <c r="D29" s="4" t="e" vm="27">
        <v>#VALUE!</v>
      </c>
      <c r="E29" s="1" t="str" cm="1">
        <f t="array" aca="1" ref="E29" ca="1">_FV(D29,"Industry")</f>
        <v>Machinery, Equipment &amp; Components</v>
      </c>
      <c r="F29" t="str" cm="1">
        <f t="array" aca="1" ref="F29" ca="1">IFERROR(_xlfn.LET(_xlpm.h,_FV(D29,"Headquarters"),_xlpm.p,TRIM(_xlfn.TEXTSPLIT(_xlpm.h,",")),_xlpm.n,COLUMNS(_xlpm.p),_xlpm.z,INDEX(_xlpm.p,1,_xlpm.n),_xlpm.c,INDEX(_xlpm.p,1,_xlpm.n-2),_xlpm.s,INDEX(_xlpm.p,1,_xlpm.n-1),IF(_xlpm.n&lt;4,_xlpm.s,IF(RIGHT(_xlpm.z,2)="IE",_xlpm.s&amp;", "&amp;_xlfn.TEXTBEFORE(_xlpm.z," ",-1),IF(UPPER(LEFT(_xlpm.c,3))="BOX",_xlpm.s,_xlpm.c&amp;", "&amp;_xlpm.s)))),"")</f>
        <v>MILWAUKEE, WI</v>
      </c>
      <c r="G29" s="5" cm="1">
        <f t="array" aca="1" ref="G29" ca="1">_FV(D29,"price")</f>
        <v>152.41999999999999</v>
      </c>
      <c r="H29" s="6" cm="1">
        <f t="array" aca="1" ref="H29" ca="1">_FV(D29,"Shares outstanding",TRUE)/1000</f>
        <v>66591.87</v>
      </c>
      <c r="I29" s="7">
        <f t="shared" ca="1" si="0"/>
        <v>10149932.825399999</v>
      </c>
    </row>
    <row r="30" spans="2:9" x14ac:dyDescent="0.2">
      <c r="B30" s="1" t="s">
        <v>62</v>
      </c>
      <c r="C30" s="2" t="s">
        <v>63</v>
      </c>
      <c r="D30" s="4" t="e" vm="28">
        <v>#VALUE!</v>
      </c>
      <c r="E30" s="1" t="str" cm="1">
        <f t="array" aca="1" ref="E30" ca="1">_FV(D30,"Industry")</f>
        <v>Machinery, Equipment &amp; Components</v>
      </c>
      <c r="F30" t="str" cm="1">
        <f t="array" aca="1" ref="F30" ca="1">IFERROR(_xlfn.LET(_xlpm.h,_FV(D30,"Headquarters"),_xlpm.p,TRIM(_xlfn.TEXTSPLIT(_xlpm.h,",")),_xlpm.n,COLUMNS(_xlpm.p),_xlpm.z,INDEX(_xlpm.p,1,_xlpm.n),_xlpm.c,INDEX(_xlpm.p,1,_xlpm.n-2),_xlpm.s,INDEX(_xlpm.p,1,_xlpm.n-1),IF(_xlpm.n&lt;4,_xlpm.s,IF(RIGHT(_xlpm.z,2)="IE",_xlpm.s&amp;", "&amp;_xlfn.TEXTBEFORE(_xlpm.z," ",-1),IF(UPPER(LEFT(_xlpm.c,3))="BOX",_xlpm.s,_xlpm.c&amp;", "&amp;_xlpm.s)))),"")</f>
        <v>SHELTON, CT</v>
      </c>
      <c r="G30" s="5" cm="1">
        <f t="array" aca="1" ref="G30" ca="1">_FV(D30,"price")</f>
        <v>463.7</v>
      </c>
      <c r="H30" s="6" cm="1">
        <f t="array" aca="1" ref="H30" ca="1">_FV(D30,"Shares outstanding",TRUE)/1000</f>
        <v>52832.57</v>
      </c>
      <c r="I30" s="7">
        <f t="shared" ca="1" si="0"/>
        <v>24498462.708999999</v>
      </c>
    </row>
    <row r="31" spans="2:9" x14ac:dyDescent="0.2">
      <c r="B31" s="1" t="s">
        <v>64</v>
      </c>
      <c r="C31" s="2" t="s">
        <v>65</v>
      </c>
      <c r="D31" s="4" t="e" vm="29">
        <v>#VALUE!</v>
      </c>
      <c r="E31" s="1" t="str" cm="1">
        <f t="array" aca="1" ref="E31" ca="1">_FV(D31,"Industry")</f>
        <v>Electrical Utilities &amp; IPPs</v>
      </c>
      <c r="F31" t="str" cm="1">
        <f t="array" aca="1" ref="F31" ca="1">IFERROR(_xlfn.LET(_xlpm.h,_FV(D31,"Headquarters"),_xlpm.p,TRIM(_xlfn.TEXTSPLIT(_xlpm.h,",")),_xlpm.n,COLUMNS(_xlpm.p),_xlpm.z,INDEX(_xlpm.p,1,_xlpm.n),_xlpm.c,INDEX(_xlpm.p,1,_xlpm.n-2),_xlpm.s,INDEX(_xlpm.p,1,_xlpm.n-1),IF(_xlpm.n&lt;4,_xlpm.s,IF(RIGHT(_xlpm.z,2)="IE",_xlpm.s&amp;", "&amp;_xlfn.TEXTBEFORE(_xlpm.z," ",-1),IF(UPPER(LEFT(_xlpm.c,3))="BOX",_xlpm.s,_xlpm.c&amp;", "&amp;_xlpm.s)))),"")</f>
        <v>PHOENIX, AZ</v>
      </c>
      <c r="G31" s="5" cm="1">
        <f t="array" aca="1" ref="G31" ca="1">_FV(D31,"price")</f>
        <v>92.05</v>
      </c>
      <c r="H31" s="6" cm="1">
        <f t="array" aca="1" ref="H31" ca="1">_FV(D31,"Shares outstanding",TRUE)/1000</f>
        <v>121197.2</v>
      </c>
      <c r="I31" s="7">
        <f t="shared" ca="1" si="0"/>
        <v>11156202.26</v>
      </c>
    </row>
    <row r="32" spans="2:9" x14ac:dyDescent="0.2">
      <c r="B32" s="1" t="s">
        <v>66</v>
      </c>
      <c r="C32" s="2" t="s">
        <v>67</v>
      </c>
      <c r="D32" s="4" t="e" vm="30">
        <v>#VALUE!</v>
      </c>
      <c r="E32" s="1" t="str" cm="1">
        <f t="array" aca="1" ref="E32" ca="1">_FV(D32,"Industry")</f>
        <v>Electrical Utilities &amp; IPPs</v>
      </c>
      <c r="F32" t="str" cm="1">
        <f t="array" aca="1" ref="F32" ca="1">IFERROR(_xlfn.LET(_xlpm.h,_FV(D32,"Headquarters"),_xlpm.p,TRIM(_xlfn.TEXTSPLIT(_xlpm.h,",")),_xlpm.n,COLUMNS(_xlpm.p),_xlpm.z,INDEX(_xlpm.p,1,_xlpm.n),_xlpm.c,INDEX(_xlpm.p,1,_xlpm.n-2),_xlpm.s,INDEX(_xlpm.p,1,_xlpm.n-1),IF(_xlpm.n&lt;4,_xlpm.s,IF(RIGHT(_xlpm.z,2)="IE",_xlpm.s&amp;", "&amp;_xlfn.TEXTBEFORE(_xlpm.z," ",-1),IF(UPPER(LEFT(_xlpm.c,3))="BOX",_xlpm.s,_xlpm.c&amp;", "&amp;_xlpm.s)))),"")</f>
        <v>MADISON, WI</v>
      </c>
      <c r="G32" s="5" cm="1">
        <f t="array" aca="1" ref="G32" ca="1">_FV(D32,"price")</f>
        <v>63.69</v>
      </c>
      <c r="H32" s="6" cm="1">
        <f t="array" aca="1" ref="H32" ca="1">_FV(D32,"Shares outstanding",TRUE)/1000</f>
        <v>259284.7</v>
      </c>
      <c r="I32" s="7">
        <f t="shared" ca="1" si="0"/>
        <v>16513842.543</v>
      </c>
    </row>
    <row r="33" spans="2:9" x14ac:dyDescent="0.2">
      <c r="B33" s="1" t="s">
        <v>68</v>
      </c>
      <c r="C33" s="2" t="s">
        <v>69</v>
      </c>
      <c r="D33" s="4" t="e" vm="31">
        <v>#VALUE!</v>
      </c>
      <c r="E33" s="1" t="str" cm="1">
        <f t="array" aca="1" ref="E33" ca="1">_FV(D33,"Industry")</f>
        <v>Homebuilding &amp; Construction Supplies</v>
      </c>
      <c r="F33" t="str" cm="1">
        <f t="array" aca="1" ref="F33" ca="1">IFERROR(_xlfn.LET(_xlpm.h,_FV(D33,"Headquarters"),_xlpm.p,TRIM(_xlfn.TEXTSPLIT(_xlpm.h,",")),_xlpm.n,COLUMNS(_xlpm.p),_xlpm.z,INDEX(_xlpm.p,1,_xlpm.n),_xlpm.c,INDEX(_xlpm.p,1,_xlpm.n-2),_xlpm.s,INDEX(_xlpm.p,1,_xlpm.n-1),IF(_xlpm.n&lt;4,_xlpm.s,IF(RIGHT(_xlpm.z,2)="IE",_xlpm.s&amp;", "&amp;_xlfn.TEXTBEFORE(_xlpm.z," ",-1),IF(UPPER(LEFT(_xlpm.c,3))="BOX",_xlpm.s,_xlpm.c&amp;", "&amp;_xlpm.s)))),"")</f>
        <v>ATLANTA, GA</v>
      </c>
      <c r="G33" s="5" cm="1">
        <f t="array" aca="1" ref="G33" ca="1">_FV(D33,"price")</f>
        <v>306.06</v>
      </c>
      <c r="H33" s="6" cm="1">
        <f t="array" aca="1" ref="H33" ca="1">_FV(D33,"Shares outstanding",TRUE)/1000</f>
        <v>29935.55</v>
      </c>
      <c r="I33" s="7">
        <f t="shared" ca="1" si="0"/>
        <v>9162074.4330000002</v>
      </c>
    </row>
    <row r="34" spans="2:9" x14ac:dyDescent="0.2">
      <c r="B34" s="1" t="s">
        <v>70</v>
      </c>
      <c r="C34" s="2" t="s">
        <v>71</v>
      </c>
      <c r="D34" s="4" t="e" vm="32">
        <v>#VALUE!</v>
      </c>
      <c r="E34" s="1" t="str" cm="1">
        <f t="array" aca="1" ref="E34" ca="1">_FV(D34,"Industry")</f>
        <v>Machinery, Equipment &amp; Components</v>
      </c>
      <c r="F34" t="str" cm="1">
        <f t="array" aca="1" ref="F34" ca="1">IFERROR(_xlfn.LET(_xlpm.h,_FV(D34,"Headquarters"),_xlpm.p,TRIM(_xlfn.TEXTSPLIT(_xlpm.h,",")),_xlpm.n,COLUMNS(_xlpm.p),_xlpm.z,INDEX(_xlpm.p,1,_xlpm.n),_xlpm.c,INDEX(_xlpm.p,1,_xlpm.n-2),_xlpm.s,INDEX(_xlpm.p,1,_xlpm.n-1),IF(_xlpm.n&lt;4,_xlpm.s,IF(RIGHT(_xlpm.z,2)="IE",_xlpm.s&amp;", "&amp;_xlfn.TEXTBEFORE(_xlpm.z," ",-1),IF(UPPER(LEFT(_xlpm.c,3))="BOX",_xlpm.s,_xlpm.c&amp;", "&amp;_xlpm.s)))),"")</f>
        <v>WAUKESHA, WI</v>
      </c>
      <c r="G34" s="5" cm="1">
        <f t="array" aca="1" ref="G34" ca="1">_FV(D34,"price")</f>
        <v>199.42</v>
      </c>
      <c r="H34" s="6" cm="1">
        <f t="array" aca="1" ref="H34" ca="1">_FV(D34,"Shares outstanding",TRUE)/1000</f>
        <v>59063.94</v>
      </c>
      <c r="I34" s="7">
        <f t="shared" ca="1" si="0"/>
        <v>11778530.914799999</v>
      </c>
    </row>
    <row r="35" spans="2:9" x14ac:dyDescent="0.2">
      <c r="B35" s="1" t="s">
        <v>72</v>
      </c>
      <c r="C35" s="2" t="s">
        <v>73</v>
      </c>
      <c r="D35" s="4" t="e" vm="33">
        <v>#VALUE!</v>
      </c>
      <c r="E35" s="1" t="str" cm="1">
        <f t="array" aca="1" ref="E35" ca="1">_FV(D35,"Industry")</f>
        <v>Machinery, Equipment &amp; Components</v>
      </c>
      <c r="F35" t="str" cm="1">
        <f t="array" aca="1" ref="F35" ca="1">IFERROR(_xlfn.LET(_xlpm.h,_FV(D35,"Headquarters"),_xlpm.p,TRIM(_xlfn.TEXTSPLIT(_xlpm.h,",")),_xlpm.n,COLUMNS(_xlpm.p),_xlpm.z,INDEX(_xlpm.p,1,_xlpm.n),_xlpm.c,INDEX(_xlpm.p,1,_xlpm.n-2),_xlpm.s,INDEX(_xlpm.p,1,_xlpm.n-1),IF(_xlpm.n&lt;4,_xlpm.s,IF(RIGHT(_xlpm.z,2)="IE",_xlpm.s&amp;", "&amp;_xlfn.TEXTBEFORE(_xlpm.z," ",-1),IF(UPPER(LEFT(_xlpm.c,3))="BOX",_xlpm.s,_xlpm.c&amp;", "&amp;_xlpm.s)))),"")</f>
        <v>READING, PA</v>
      </c>
      <c r="G35" s="5" cm="1">
        <f t="array" aca="1" ref="G35" ca="1">_FV(D35,"price")</f>
        <v>179.49</v>
      </c>
      <c r="H35" s="6" cm="1">
        <f t="array" aca="1" ref="H35" ca="1">_FV(D35,"Shares outstanding",TRUE)/1000</f>
        <v>36065.22</v>
      </c>
      <c r="I35" s="7">
        <f t="shared" ca="1" si="0"/>
        <v>6473346.3378000008</v>
      </c>
    </row>
    <row r="36" spans="2:9" x14ac:dyDescent="0.2">
      <c r="B36" s="1" t="s">
        <v>74</v>
      </c>
      <c r="C36" s="2" t="s">
        <v>75</v>
      </c>
      <c r="D36" s="4" t="e" vm="34">
        <v>#VALUE!</v>
      </c>
      <c r="E36" s="1" t="str" cm="1">
        <f t="array" aca="1" ref="E36" ca="1">_FV(D36,"Industry")</f>
        <v>Electronic Equipment &amp; Parts</v>
      </c>
      <c r="F36" t="str" cm="1">
        <f t="array" aca="1" ref="F36" ca="1">IFERROR(_xlfn.LET(_xlpm.h,_FV(D36,"Headquarters"),_xlpm.p,TRIM(_xlfn.TEXTSPLIT(_xlpm.h,",")),_xlpm.n,COLUMNS(_xlpm.p),_xlpm.z,INDEX(_xlpm.p,1,_xlpm.n),_xlpm.c,INDEX(_xlpm.p,1,_xlpm.n-2),_xlpm.s,INDEX(_xlpm.p,1,_xlpm.n-1),IF(_xlpm.n&lt;4,_xlpm.s,IF(RIGHT(_xlpm.z,2)="IE",_xlpm.s&amp;", "&amp;_xlfn.TEXTBEFORE(_xlpm.z," ",-1),IF(UPPER(LEFT(_xlpm.c,3))="BOX",_xlpm.s,_xlpm.c&amp;", "&amp;_xlpm.s)))),"")</f>
        <v>ATTLEBORO, MA</v>
      </c>
      <c r="G36" s="5" cm="1">
        <f t="array" aca="1" ref="G36" ca="1">_FV(D36,"price")</f>
        <v>41.51</v>
      </c>
      <c r="H36" s="6" cm="1">
        <f t="array" aca="1" ref="H36" ca="1">_FV(D36,"Shares outstanding",TRUE)/1000</f>
        <v>145535.9</v>
      </c>
      <c r="I36" s="7">
        <f t="shared" ca="1" si="0"/>
        <v>6041195.2089999998</v>
      </c>
    </row>
    <row r="37" spans="2:9" x14ac:dyDescent="0.2">
      <c r="B37" s="1" t="s">
        <v>76</v>
      </c>
      <c r="C37" s="2" t="s">
        <v>77</v>
      </c>
      <c r="D37" s="4" t="e" vm="35">
        <v>#VALUE!</v>
      </c>
      <c r="E37" s="1" t="str" cm="1">
        <f t="array" aca="1" ref="E37" ca="1">_FV(D37,"Industry")</f>
        <v>Electrical Utilities &amp; IPPs</v>
      </c>
      <c r="F37" t="str" cm="1">
        <f t="array" aca="1" ref="F37" ca="1">IFERROR(_xlfn.LET(_xlpm.h,_FV(D37,"Headquarters"),_xlpm.p,TRIM(_xlfn.TEXTSPLIT(_xlpm.h,",")),_xlpm.n,COLUMNS(_xlpm.p),_xlpm.z,INDEX(_xlpm.p,1,_xlpm.n),_xlpm.c,INDEX(_xlpm.p,1,_xlpm.n-2),_xlpm.s,INDEX(_xlpm.p,1,_xlpm.n-1),IF(_xlpm.n&lt;4,_xlpm.s,IF(RIGHT(_xlpm.z,2)="IE",_xlpm.s&amp;", "&amp;_xlfn.TEXTBEFORE(_xlpm.z," ",-1),IF(UPPER(LEFT(_xlpm.c,3))="BOX",_xlpm.s,_xlpm.c&amp;", "&amp;_xlpm.s)))),"")</f>
        <v>PORTLAND, OR</v>
      </c>
      <c r="G37" s="5" cm="1">
        <f t="array" aca="1" ref="G37" ca="1">_FV(D37,"price")</f>
        <v>46.92</v>
      </c>
      <c r="H37" s="6" cm="1">
        <f t="array" aca="1" ref="H37" ca="1">_FV(D37,"Shares outstanding",TRUE)/1000</f>
        <v>117607.7</v>
      </c>
      <c r="I37" s="7">
        <f t="shared" ca="1" si="0"/>
        <v>5518153.284</v>
      </c>
    </row>
    <row r="38" spans="2:9" x14ac:dyDescent="0.2">
      <c r="B38" s="1" t="s">
        <v>78</v>
      </c>
      <c r="C38" s="2" t="s">
        <v>79</v>
      </c>
      <c r="D38" s="4" t="e" vm="36">
        <v>#VALUE!</v>
      </c>
      <c r="E38" s="1" t="str" cm="1">
        <f t="array" aca="1" ref="E38" ca="1">_FV(D38,"Industry")</f>
        <v>Renewable Energy</v>
      </c>
      <c r="F38" t="str" cm="1">
        <f t="array" aca="1" ref="F38" ca="1">IFERROR(_xlfn.LET(_xlpm.h,_FV(D38,"Headquarters"),_xlpm.p,TRIM(_xlfn.TEXTSPLIT(_xlpm.h,",")),_xlpm.n,COLUMNS(_xlpm.p),_xlpm.z,INDEX(_xlpm.p,1,_xlpm.n),_xlpm.c,INDEX(_xlpm.p,1,_xlpm.n-2),_xlpm.s,INDEX(_xlpm.p,1,_xlpm.n-1),IF(_xlpm.n&lt;4,_xlpm.s,IF(RIGHT(_xlpm.z,2)="IE",_xlpm.s&amp;", "&amp;_xlfn.TEXTBEFORE(_xlpm.z," ",-1),IF(UPPER(LEFT(_xlpm.c,3))="BOX",_xlpm.s,_xlpm.c&amp;", "&amp;_xlpm.s)))),"")</f>
        <v>FREMONT, CA</v>
      </c>
      <c r="G38" s="5" cm="1">
        <f t="array" aca="1" ref="G38" ca="1">_FV(D38,"price")</f>
        <v>81.81</v>
      </c>
      <c r="H38" s="6" cm="1">
        <f t="array" aca="1" ref="H38" ca="1">_FV(D38,"Shares outstanding",TRUE)/1000</f>
        <v>151729.5</v>
      </c>
      <c r="I38" s="7">
        <f t="shared" ca="1" si="0"/>
        <v>12412990.395</v>
      </c>
    </row>
    <row r="39" spans="2:9" x14ac:dyDescent="0.2">
      <c r="B39" s="1" t="s">
        <v>80</v>
      </c>
      <c r="C39" s="2" t="s">
        <v>81</v>
      </c>
      <c r="D39" s="4" t="e" vm="37">
        <v>#VALUE!</v>
      </c>
      <c r="E39" s="1" t="str" cm="1">
        <f t="array" aca="1" ref="E39" ca="1">_FV(D39,"Industry")</f>
        <v>Electrical Utilities &amp; IPPs</v>
      </c>
      <c r="F39" t="str" cm="1">
        <f t="array" aca="1" ref="F39" ca="1">IFERROR(_xlfn.LET(_xlpm.h,_FV(D39,"Headquarters"),_xlpm.p,TRIM(_xlfn.TEXTSPLIT(_xlpm.h,",")),_xlpm.n,COLUMNS(_xlpm.p),_xlpm.z,INDEX(_xlpm.p,1,_xlpm.n),_xlpm.c,INDEX(_xlpm.p,1,_xlpm.n-2),_xlpm.s,INDEX(_xlpm.p,1,_xlpm.n-1),IF(_xlpm.n&lt;4,_xlpm.s,IF(RIGHT(_xlpm.z,2)="IE",_xlpm.s&amp;", "&amp;_xlfn.TEXTBEFORE(_xlpm.z," ",-1),IF(UPPER(LEFT(_xlpm.c,3))="BOX",_xlpm.s,_xlpm.c&amp;", "&amp;_xlpm.s)))),"")</f>
        <v>OKLAHOMA CITY, OK</v>
      </c>
      <c r="G39" s="5" cm="1">
        <f t="array" aca="1" ref="G39" ca="1">_FV(D39,"price")</f>
        <v>44.71</v>
      </c>
      <c r="H39" s="6" cm="1">
        <f t="array" aca="1" ref="H39" ca="1">_FV(D39,"Shares outstanding",TRUE)/1000</f>
        <v>206581.3</v>
      </c>
      <c r="I39" s="7">
        <f t="shared" ca="1" si="0"/>
        <v>9236249.9230000004</v>
      </c>
    </row>
    <row r="40" spans="2:9" x14ac:dyDescent="0.2">
      <c r="B40" s="1" t="s">
        <v>82</v>
      </c>
      <c r="C40" s="2" t="s">
        <v>83</v>
      </c>
      <c r="D40" s="4" t="e" vm="38">
        <v>#VALUE!</v>
      </c>
      <c r="E40" s="1" t="str" cm="1">
        <f t="array" aca="1" ref="E40" ca="1">_FV(D40,"Industry")</f>
        <v>Electrical Utilities &amp; IPPs</v>
      </c>
      <c r="F40" t="str" cm="1">
        <f t="array" aca="1" ref="F40" ca="1">IFERROR(_xlfn.LET(_xlpm.h,_FV(D40,"Headquarters"),_xlpm.p,TRIM(_xlfn.TEXTSPLIT(_xlpm.h,",")),_xlpm.n,COLUMNS(_xlpm.p),_xlpm.z,INDEX(_xlpm.p,1,_xlpm.n),_xlpm.c,INDEX(_xlpm.p,1,_xlpm.n-2),_xlpm.s,INDEX(_xlpm.p,1,_xlpm.n-1),IF(_xlpm.n&lt;4,_xlpm.s,IF(RIGHT(_xlpm.z,2)="IE",_xlpm.s&amp;", "&amp;_xlfn.TEXTBEFORE(_xlpm.z," ",-1),IF(UPPER(LEFT(_xlpm.c,3))="BOX",_xlpm.s,_xlpm.c&amp;", "&amp;_xlpm.s)))),"")</f>
        <v>HONOLULU, HI</v>
      </c>
      <c r="G40" s="5" cm="1">
        <f t="array" aca="1" ref="G40" ca="1">_FV(D40,"price")</f>
        <v>9.2200000000000006</v>
      </c>
      <c r="H40" s="6" cm="1">
        <f t="array" aca="1" ref="H40" ca="1">_FV(D40,"Shares outstanding",TRUE)/1000</f>
        <v>173021.9</v>
      </c>
      <c r="I40" s="7">
        <f t="shared" ca="1" si="0"/>
        <v>1595261.9180000001</v>
      </c>
    </row>
    <row r="41" spans="2:9" x14ac:dyDescent="0.2">
      <c r="B41" s="1" t="s">
        <v>84</v>
      </c>
      <c r="C41" s="2" t="s">
        <v>85</v>
      </c>
      <c r="D41" s="4" t="e" vm="39">
        <v>#VALUE!</v>
      </c>
      <c r="E41" s="1" t="str" cm="1">
        <f t="array" aca="1" ref="E41" ca="1">_FV(D41,"Industry")</f>
        <v>Renewable Energy</v>
      </c>
      <c r="F41" t="str" cm="1">
        <f t="array" aca="1" ref="F41" ca="1">IFERROR(_xlfn.LET(_xlpm.h,_FV(D41,"Headquarters"),_xlpm.p,TRIM(_xlfn.TEXTSPLIT(_xlpm.h,",")),_xlpm.n,COLUMNS(_xlpm.p),_xlpm.z,INDEX(_xlpm.p,1,_xlpm.n),_xlpm.c,INDEX(_xlpm.p,1,_xlpm.n-2),_xlpm.s,INDEX(_xlpm.p,1,_xlpm.n-1),IF(_xlpm.n&lt;4,_xlpm.s,IF(RIGHT(_xlpm.z,2)="IE",_xlpm.s&amp;", "&amp;_xlfn.TEXTBEFORE(_xlpm.z," ",-1),IF(UPPER(LEFT(_xlpm.c,3))="BOX",_xlpm.s,_xlpm.c&amp;", "&amp;_xlpm.s)))),"")</f>
        <v>SAN FRANCISCO, CA</v>
      </c>
      <c r="G41" s="5" cm="1">
        <f t="array" aca="1" ref="G41" ca="1">_FV(D41,"price")</f>
        <v>8.35</v>
      </c>
      <c r="H41" s="6" cm="1">
        <f t="array" aca="1" ref="H41" ca="1">_FV(D41,"Shares outstanding",TRUE)/1000</f>
        <v>240847</v>
      </c>
      <c r="I41" s="7">
        <f t="shared" ca="1" si="0"/>
        <v>2011072.45</v>
      </c>
    </row>
    <row r="42" spans="2:9" x14ac:dyDescent="0.2">
      <c r="B42" s="1" t="s">
        <v>86</v>
      </c>
      <c r="C42" s="2" t="s">
        <v>87</v>
      </c>
      <c r="D42" s="4" t="e" vm="40">
        <v>#VALUE!</v>
      </c>
      <c r="E42" s="1" t="str" cm="1">
        <f t="array" aca="1" ref="E42" ca="1">_FV(D42,"Industry")</f>
        <v>Machinery, Equipment &amp; Components</v>
      </c>
      <c r="F42" t="str" cm="1">
        <f t="array" aca="1" ref="F42" ca="1">IFERROR(_xlfn.LET(_xlpm.h,_FV(D42,"Headquarters"),_xlpm.p,TRIM(_xlfn.TEXTSPLIT(_xlpm.h,",")),_xlpm.n,COLUMNS(_xlpm.p),_xlpm.z,INDEX(_xlpm.p,1,_xlpm.n),_xlpm.c,INDEX(_xlpm.p,1,_xlpm.n-2),_xlpm.s,INDEX(_xlpm.p,1,_xlpm.n-1),IF(_xlpm.n&lt;4,_xlpm.s,IF(RIGHT(_xlpm.z,2)="IE",_xlpm.s&amp;", "&amp;_xlfn.TEXTBEFORE(_xlpm.z," ",-1),IF(UPPER(LEFT(_xlpm.c,3))="BOX",_xlpm.s,_xlpm.c&amp;", "&amp;_xlpm.s)))),"")</f>
        <v>HARVEY, IL</v>
      </c>
      <c r="G42" s="5" cm="1">
        <f t="array" aca="1" ref="G42" ca="1">_FV(D42,"price")</f>
        <v>94.51</v>
      </c>
      <c r="H42" s="6" cm="1">
        <f t="array" aca="1" ref="H42" ca="1">_FV(D42,"Shares outstanding",TRUE)/1000</f>
        <v>33773.06</v>
      </c>
      <c r="I42" s="7">
        <f t="shared" ca="1" si="0"/>
        <v>3191891.9005999998</v>
      </c>
    </row>
    <row r="43" spans="2:9" x14ac:dyDescent="0.2">
      <c r="B43" s="1" t="s">
        <v>88</v>
      </c>
      <c r="C43" s="2" t="s">
        <v>89</v>
      </c>
      <c r="D43" s="4" t="e" vm="41">
        <v>#VALUE!</v>
      </c>
      <c r="E43" s="1" t="str" cm="1">
        <f t="array" aca="1" ref="E43" ca="1">_FV(D43,"Industry")</f>
        <v>Electrical Utilities &amp; IPPs</v>
      </c>
      <c r="F43" t="str" cm="1">
        <f t="array" aca="1" ref="F43" ca="1">IFERROR(_xlfn.LET(_xlpm.h,_FV(D43,"Headquarters"),_xlpm.p,TRIM(_xlfn.TEXTSPLIT(_xlpm.h,",")),_xlpm.n,COLUMNS(_xlpm.p),_xlpm.z,INDEX(_xlpm.p,1,_xlpm.n),_xlpm.c,INDEX(_xlpm.p,1,_xlpm.n-2),_xlpm.s,INDEX(_xlpm.p,1,_xlpm.n-1),IF(_xlpm.n&lt;4,_xlpm.s,IF(RIGHT(_xlpm.z,2)="IE",_xlpm.s&amp;", "&amp;_xlfn.TEXTBEFORE(_xlpm.z," ",-1),IF(UPPER(LEFT(_xlpm.c,3))="BOX",_xlpm.s,_xlpm.c&amp;", "&amp;_xlpm.s)))),"")</f>
        <v>HOUSTON, TX</v>
      </c>
      <c r="G43" s="5" cm="1">
        <f t="array" aca="1" ref="G43" ca="1">_FV(D43,"price")</f>
        <v>300.33999999999997</v>
      </c>
      <c r="H43" s="6" cm="1">
        <f t="array" aca="1" ref="H43" ca="1">_FV(D43,"Shares outstanding",TRUE)/1000</f>
        <v>47914.26</v>
      </c>
      <c r="I43" s="7">
        <f t="shared" ca="1" si="0"/>
        <v>14390568.848399999</v>
      </c>
    </row>
    <row r="44" spans="2:9" x14ac:dyDescent="0.2">
      <c r="B44" s="1" t="s">
        <v>90</v>
      </c>
      <c r="C44" s="2" t="s">
        <v>91</v>
      </c>
      <c r="D44" s="4" t="e" vm="42">
        <v>#VALUE!</v>
      </c>
      <c r="E44" s="1" t="str" cm="1">
        <f t="array" aca="1" ref="E44" ca="1">_FV(D44,"Industry")</f>
        <v>Electrical Utilities &amp; IPPs</v>
      </c>
      <c r="F44" t="str" cm="1">
        <f t="array" aca="1" ref="F44" ca="1">IFERROR(_xlfn.LET(_xlpm.h,_FV(D44,"Headquarters"),_xlpm.p,TRIM(_xlfn.TEXTSPLIT(_xlpm.h,",")),_xlpm.n,COLUMNS(_xlpm.p),_xlpm.z,INDEX(_xlpm.p,1,_xlpm.n),_xlpm.c,INDEX(_xlpm.p,1,_xlpm.n-2),_xlpm.s,INDEX(_xlpm.p,1,_xlpm.n-1),IF(_xlpm.n&lt;4,_xlpm.s,IF(RIGHT(_xlpm.z,2)="IE",_xlpm.s&amp;", "&amp;_xlfn.TEXTBEFORE(_xlpm.z," ",-1),IF(UPPER(LEFT(_xlpm.c,3))="BOX",_xlpm.s,_xlpm.c&amp;", "&amp;_xlpm.s)))),"")</f>
        <v>EDMONTON, AB</v>
      </c>
      <c r="G44" s="5" cm="1">
        <f t="array" aca="1" ref="G44" ca="1">_FV(D44,"price")</f>
        <v>62.58</v>
      </c>
      <c r="H44" s="6" cm="1">
        <f t="array" aca="1" ref="H44" ca="1">_FV(D44,"Shares outstanding",TRUE)/1000</f>
        <v>156888.79999999999</v>
      </c>
      <c r="I44" s="7">
        <f t="shared" ca="1" si="0"/>
        <v>9818101.1039999984</v>
      </c>
    </row>
    <row r="45" spans="2:9" x14ac:dyDescent="0.2">
      <c r="B45" s="1" t="s">
        <v>92</v>
      </c>
      <c r="C45" s="2" t="s">
        <v>93</v>
      </c>
      <c r="D45" s="4" t="e" vm="43">
        <v>#VALUE!</v>
      </c>
      <c r="E45" s="1" t="str" cm="1">
        <f t="array" aca="1" ref="E45" ca="1">_FV(D45,"Industry")</f>
        <v>Renewable Energy</v>
      </c>
      <c r="F45" t="str" cm="1">
        <f t="array" aca="1" ref="F45" ca="1">IFERROR(_xlfn.LET(_xlpm.h,_FV(D45,"Headquarters"),_xlpm.p,TRIM(_xlfn.TEXTSPLIT(_xlpm.h,",")),_xlpm.n,COLUMNS(_xlpm.p),_xlpm.z,INDEX(_xlpm.p,1,_xlpm.n),_xlpm.c,INDEX(_xlpm.p,1,_xlpm.n-2),_xlpm.s,INDEX(_xlpm.p,1,_xlpm.n-1),IF(_xlpm.n&lt;4,_xlpm.s,IF(RIGHT(_xlpm.z,2)="IE",_xlpm.s&amp;", "&amp;_xlfn.TEXTBEFORE(_xlpm.z," ",-1),IF(UPPER(LEFT(_xlpm.c,3))="BOX",_xlpm.s,_xlpm.c&amp;", "&amp;_xlpm.s)))),"")</f>
        <v>ARLINGTON, VA</v>
      </c>
      <c r="G45" s="5" cm="1">
        <f t="array" aca="1" ref="G45" ca="1">_FV(D45,"price")</f>
        <v>7.58</v>
      </c>
      <c r="H45" s="6" cm="1">
        <f t="array" aca="1" ref="H45" ca="1">_FV(D45,"Shares outstanding",TRUE)/1000</f>
        <v>184596.4</v>
      </c>
      <c r="I45" s="7">
        <f t="shared" ca="1" si="0"/>
        <v>1399240.7120000001</v>
      </c>
    </row>
    <row r="46" spans="2:9" x14ac:dyDescent="0.2">
      <c r="B46" s="1" t="s">
        <v>94</v>
      </c>
      <c r="C46" s="2" t="s">
        <v>95</v>
      </c>
      <c r="D46" s="4" t="e" vm="44">
        <v>#VALUE!</v>
      </c>
      <c r="E46" s="1" t="str" cm="1">
        <f t="array" aca="1" ref="E46" ca="1">_FV(D46,"Industry")</f>
        <v>Electrical Utilities &amp; IPPs</v>
      </c>
      <c r="F46" t="str" cm="1">
        <f t="array" aca="1" ref="F46" ca="1">IFERROR(_xlfn.LET(_xlpm.h,_FV(D46,"Headquarters"),_xlpm.p,TRIM(_xlfn.TEXTSPLIT(_xlpm.h,",")),_xlpm.n,COLUMNS(_xlpm.p),_xlpm.z,INDEX(_xlpm.p,1,_xlpm.n),_xlpm.c,INDEX(_xlpm.p,1,_xlpm.n-2),_xlpm.s,INDEX(_xlpm.p,1,_xlpm.n-1),IF(_xlpm.n&lt;4,_xlpm.s,IF(RIGHT(_xlpm.z,2)="IE",_xlpm.s&amp;", "&amp;_xlfn.TEXTBEFORE(_xlpm.z," ",-1),IF(UPPER(LEFT(_xlpm.c,3))="BOX",_xlpm.s,_xlpm.c&amp;", "&amp;_xlpm.s)))),"")</f>
        <v>ALBUQUERQUE, NM</v>
      </c>
      <c r="G46" s="5" cm="1">
        <f t="array" aca="1" ref="G46" ca="1">_FV(D46,"price")</f>
        <v>58.32</v>
      </c>
      <c r="H46" s="6" cm="1">
        <f t="array" aca="1" ref="H46" ca="1">_FV(D46,"Shares outstanding",TRUE)/1000</f>
        <v>110125.8</v>
      </c>
      <c r="I46" s="7">
        <f t="shared" ca="1" si="0"/>
        <v>6422536.6560000004</v>
      </c>
    </row>
    <row r="47" spans="2:9" x14ac:dyDescent="0.2">
      <c r="B47" s="1" t="s">
        <v>96</v>
      </c>
      <c r="C47" s="2" t="s">
        <v>97</v>
      </c>
      <c r="D47" s="4" t="e" vm="45">
        <v>#VALUE!</v>
      </c>
      <c r="E47" s="1" t="str" cm="1">
        <f t="array" aca="1" ref="E47" ca="1">_FV(D47,"Industry")</f>
        <v>Machinery, Equipment &amp; Components</v>
      </c>
      <c r="F47" t="str" cm="1">
        <f t="array" aca="1" ref="F47" ca="1">IFERROR(_xlfn.LET(_xlpm.h,_FV(D47,"Headquarters"),_xlpm.p,TRIM(_xlfn.TEXTSPLIT(_xlpm.h,",")),_xlpm.n,COLUMNS(_xlpm.p),_xlpm.z,INDEX(_xlpm.p,1,_xlpm.n),_xlpm.c,INDEX(_xlpm.p,1,_xlpm.n-2),_xlpm.s,INDEX(_xlpm.p,1,_xlpm.n-1),IF(_xlpm.n&lt;4,_xlpm.s,IF(RIGHT(_xlpm.z,2)="IE",_xlpm.s&amp;", "&amp;_xlfn.TEXTBEFORE(_xlpm.z," ",-1),IF(UPPER(LEFT(_xlpm.c,3))="BOX",_xlpm.s,_xlpm.c&amp;", "&amp;_xlpm.s)))),"")</f>
        <v>SAN JOSE, CA</v>
      </c>
      <c r="G47" s="5" cm="1">
        <f t="array" aca="1" ref="G47" ca="1">_FV(D47,"price")</f>
        <v>275.19</v>
      </c>
      <c r="H47" s="6" cm="1">
        <f t="array" aca="1" ref="H47" ca="1">_FV(D47,"Shares outstanding",TRUE)/1000</f>
        <v>294527.3</v>
      </c>
      <c r="I47" s="7">
        <f t="shared" ca="1" si="0"/>
        <v>81050967.686999992</v>
      </c>
    </row>
    <row r="48" spans="2:9" x14ac:dyDescent="0.2">
      <c r="B48" s="1" t="s">
        <v>98</v>
      </c>
      <c r="C48" s="2" t="s">
        <v>99</v>
      </c>
      <c r="D48" s="4" t="e" vm="46">
        <v>#VALUE!</v>
      </c>
      <c r="E48" s="1" t="str" cm="1">
        <f t="array" aca="1" ref="E48" ca="1">_FV(D48,"Industry")</f>
        <v>Electrical Utilities &amp; IPPs</v>
      </c>
      <c r="F48" t="str" cm="1">
        <f t="array" aca="1" ref="F48" ca="1">IFERROR(_xlfn.LET(_xlpm.h,_FV(D48,"Headquarters"),_xlpm.p,TRIM(_xlfn.TEXTSPLIT(_xlpm.h,",")),_xlpm.n,COLUMNS(_xlpm.p),_xlpm.z,INDEX(_xlpm.p,1,_xlpm.n),_xlpm.c,INDEX(_xlpm.p,1,_xlpm.n-2),_xlpm.s,INDEX(_xlpm.p,1,_xlpm.n-1),IF(_xlpm.n&lt;4,_xlpm.s,IF(RIGHT(_xlpm.z,2)="IE",_xlpm.s&amp;", "&amp;_xlfn.TEXTBEFORE(_xlpm.z," ",-1),IF(UPPER(LEFT(_xlpm.c,3))="BOX",_xlpm.s,_xlpm.c&amp;", "&amp;_xlpm.s)))),"")</f>
        <v>BOISE, ID</v>
      </c>
      <c r="G48" s="5" cm="1">
        <f t="array" aca="1" ref="G48" ca="1">_FV(D48,"price")</f>
        <v>128.66</v>
      </c>
      <c r="H48" s="6" cm="1">
        <f t="array" aca="1" ref="H48" ca="1">_FV(D48,"Shares outstanding",TRUE)/1000</f>
        <v>57842.04</v>
      </c>
      <c r="I48" s="7">
        <f t="shared" ca="1" si="0"/>
        <v>7441956.8663999997</v>
      </c>
    </row>
    <row r="49" spans="2:9" x14ac:dyDescent="0.2">
      <c r="B49" s="1" t="s">
        <v>100</v>
      </c>
      <c r="C49" s="2" t="s">
        <v>101</v>
      </c>
      <c r="D49" s="4" t="e" vm="47">
        <v>#VALUE!</v>
      </c>
      <c r="E49" s="1" t="str" cm="1">
        <f t="array" aca="1" ref="E49" ca="1">_FV(D49,"Industry")</f>
        <v>Electrical Utilities &amp; IPPs</v>
      </c>
      <c r="F49" t="str" cm="1">
        <f t="array" aca="1" ref="F49" ca="1">IFERROR(_xlfn.LET(_xlpm.h,_FV(D49,"Headquarters"),_xlpm.p,TRIM(_xlfn.TEXTSPLIT(_xlpm.h,",")),_xlpm.n,COLUMNS(_xlpm.p),_xlpm.z,INDEX(_xlpm.p,1,_xlpm.n),_xlpm.c,INDEX(_xlpm.p,1,_xlpm.n-2),_xlpm.s,INDEX(_xlpm.p,1,_xlpm.n-1),IF(_xlpm.n&lt;4,_xlpm.s,IF(RIGHT(_xlpm.z,2)="IE",_xlpm.s&amp;", "&amp;_xlfn.TEXTBEFORE(_xlpm.z," ",-1),IF(UPPER(LEFT(_xlpm.c,3))="BOX",_xlpm.s,_xlpm.c&amp;", "&amp;_xlpm.s)))),"")</f>
        <v>TORONTO, ON</v>
      </c>
      <c r="G49" s="5" cm="1">
        <f t="array" aca="1" ref="G49" ca="1">_FV(D49,"price")</f>
        <v>22.15</v>
      </c>
      <c r="H49" s="6" cm="1">
        <f t="array" aca="1" ref="H49" ca="1">_FV(D49,"Shares outstanding",TRUE)/1000</f>
        <v>261502</v>
      </c>
      <c r="I49" s="7">
        <f t="shared" ca="1" si="0"/>
        <v>5792269.2999999998</v>
      </c>
    </row>
    <row r="50" spans="2:9" x14ac:dyDescent="0.2">
      <c r="B50" s="1" t="s">
        <v>102</v>
      </c>
      <c r="C50" s="2" t="s">
        <v>103</v>
      </c>
      <c r="D50" s="4" t="e" vm="48">
        <v>#VALUE!</v>
      </c>
      <c r="E50" s="1" t="str" cm="1">
        <f t="array" aca="1" ref="E50" ca="1">_FV(D50,"Industry")</f>
        <v>Electrical Utilities &amp; IPPs</v>
      </c>
      <c r="F50" t="str" cm="1">
        <f t="array" aca="1" ref="F50" ca="1">IFERROR(_xlfn.LET(_xlpm.h,_FV(D50,"Headquarters"),_xlpm.p,TRIM(_xlfn.TEXTSPLIT(_xlpm.h,",")),_xlpm.n,COLUMNS(_xlpm.p),_xlpm.z,INDEX(_xlpm.p,1,_xlpm.n),_xlpm.c,INDEX(_xlpm.p,1,_xlpm.n-2),_xlpm.s,INDEX(_xlpm.p,1,_xlpm.n-1),IF(_xlpm.n&lt;4,_xlpm.s,IF(RIGHT(_xlpm.z,2)="IE",_xlpm.s&amp;", "&amp;_xlfn.TEXTBEFORE(_xlpm.z," ",-1),IF(UPPER(LEFT(_xlpm.c,3))="BOX",_xlpm.s,_xlpm.c&amp;", "&amp;_xlpm.s)))),"")</f>
        <v>CALGARY, AB</v>
      </c>
      <c r="G50" s="5" cm="1">
        <f t="array" aca="1" ref="G50" ca="1">_FV(D50,"price")</f>
        <v>16.88</v>
      </c>
      <c r="H50" s="6" cm="1">
        <f t="array" aca="1" ref="H50" ca="1">_FV(D50,"Shares outstanding",TRUE)/1000</f>
        <v>316025.2</v>
      </c>
      <c r="I50" s="7">
        <f t="shared" ca="1" si="0"/>
        <v>5334505.3760000002</v>
      </c>
    </row>
    <row r="51" spans="2:9" x14ac:dyDescent="0.2">
      <c r="B51" s="1" t="s">
        <v>104</v>
      </c>
      <c r="C51" s="2" t="s">
        <v>105</v>
      </c>
      <c r="D51" s="4" t="e" vm="49">
        <v>#VALUE!</v>
      </c>
      <c r="E51" s="1" t="str" cm="1">
        <f t="array" aca="1" ref="E51" ca="1">_FV(D51,"Industry")</f>
        <v>Electrical Utilities &amp; IPPs</v>
      </c>
      <c r="F51" t="str" cm="1">
        <f t="array" aca="1" ref="F51" ca="1">IFERROR(_xlfn.LET(_xlpm.h,_FV(D51,"Headquarters"),_xlpm.p,TRIM(_xlfn.TEXTSPLIT(_xlpm.h,",")),_xlpm.n,COLUMNS(_xlpm.p),_xlpm.z,INDEX(_xlpm.p,1,_xlpm.n),_xlpm.c,INDEX(_xlpm.p,1,_xlpm.n-2),_xlpm.s,INDEX(_xlpm.p,1,_xlpm.n-1),IF(_xlpm.n&lt;4,_xlpm.s,IF(RIGHT(_xlpm.z,2)="IE",_xlpm.s&amp;", "&amp;_xlfn.TEXTBEFORE(_xlpm.z," ",-1),IF(UPPER(LEFT(_xlpm.c,3))="BOX",_xlpm.s,_xlpm.c&amp;", "&amp;_xlpm.s)))),"")</f>
        <v>FERGUS FALLS, MN</v>
      </c>
      <c r="G51" s="5" cm="1">
        <f t="array" aca="1" ref="G51" ca="1">_FV(D51,"price")</f>
        <v>89.15</v>
      </c>
      <c r="H51" s="6" cm="1">
        <f t="array" aca="1" ref="H51" ca="1">_FV(D51,"Shares outstanding",TRUE)/1000</f>
        <v>41985.58</v>
      </c>
      <c r="I51" s="7">
        <f t="shared" ca="1" si="0"/>
        <v>3743014.4570000004</v>
      </c>
    </row>
    <row r="52" spans="2:9" x14ac:dyDescent="0.2">
      <c r="B52" s="1" t="s">
        <v>106</v>
      </c>
      <c r="C52" s="2" t="s">
        <v>107</v>
      </c>
      <c r="D52" s="4" t="e" vm="50">
        <v>#VALUE!</v>
      </c>
      <c r="E52" s="1" t="str" cm="1">
        <f t="array" aca="1" ref="E52" ca="1">_FV(D52,"Industry")</f>
        <v>Renewable Energy</v>
      </c>
      <c r="F52" t="str" cm="1">
        <f t="array" aca="1" ref="F52" ca="1">IFERROR(_xlfn.LET(_xlpm.h,_FV(D52,"Headquarters"),_xlpm.p,TRIM(_xlfn.TEXTSPLIT(_xlpm.h,",")),_xlpm.n,COLUMNS(_xlpm.p),_xlpm.z,INDEX(_xlpm.p,1,_xlpm.n),_xlpm.c,INDEX(_xlpm.p,1,_xlpm.n-2),_xlpm.s,INDEX(_xlpm.p,1,_xlpm.n-1),IF(_xlpm.n&lt;4,_xlpm.s,IF(RIGHT(_xlpm.z,2)="IE",_xlpm.s&amp;", "&amp;_xlfn.TEXTBEFORE(_xlpm.z," ",-1),IF(UPPER(LEFT(_xlpm.c,3))="BOX",_xlpm.s,_xlpm.c&amp;", "&amp;_xlpm.s)))),"")</f>
        <v>ALBUQUERQUE, NM</v>
      </c>
      <c r="G52" s="5" cm="1">
        <f t="array" aca="1" ref="G52" ca="1">_FV(D52,"price")</f>
        <v>3.86</v>
      </c>
      <c r="H52" s="6" cm="1">
        <f t="array" aca="1" ref="H52" ca="1">_FV(D52,"Shares outstanding",TRUE)/1000</f>
        <v>154007.70000000001</v>
      </c>
      <c r="I52" s="7">
        <f t="shared" ca="1" si="0"/>
        <v>594469.72200000007</v>
      </c>
    </row>
    <row r="53" spans="2:9" x14ac:dyDescent="0.2">
      <c r="B53" s="1" t="s">
        <v>108</v>
      </c>
      <c r="C53" s="2" t="s">
        <v>109</v>
      </c>
      <c r="D53" s="4" t="e" vm="51">
        <v>#VALUE!</v>
      </c>
      <c r="E53" s="1" t="str" cm="1">
        <f t="array" aca="1" ref="E53" ca="1">_FV(D53,"Industry")</f>
        <v>Electrical Utilities &amp; IPPs</v>
      </c>
      <c r="F53" t="str" cm="1">
        <f t="array" aca="1" ref="F53" ca="1">IFERROR(_xlfn.LET(_xlpm.h,_FV(D53,"Headquarters"),_xlpm.p,TRIM(_xlfn.TEXTSPLIT(_xlpm.h,",")),_xlpm.n,COLUMNS(_xlpm.p),_xlpm.z,INDEX(_xlpm.p,1,_xlpm.n),_xlpm.c,INDEX(_xlpm.p,1,_xlpm.n-2),_xlpm.s,INDEX(_xlpm.p,1,_xlpm.n-1),IF(_xlpm.n&lt;4,_xlpm.s,IF(RIGHT(_xlpm.z,2)="IE",_xlpm.s&amp;", "&amp;_xlfn.TEXTBEFORE(_xlpm.z," ",-1),IF(UPPER(LEFT(_xlpm.c,3))="BOX",_xlpm.s,_xlpm.c&amp;", "&amp;_xlpm.s)))),"")</f>
        <v>JUNO BEACH, FL</v>
      </c>
      <c r="G53" s="5" cm="1">
        <f t="array" aca="1" ref="G53" ca="1">_FV(D53,"price")</f>
        <v>10.67</v>
      </c>
      <c r="H53" s="6" cm="1">
        <f t="array" aca="1" ref="H53" ca="1">_FV(D53,"Shares outstanding",TRUE)/1000</f>
        <v>94272.8</v>
      </c>
      <c r="I53" s="7">
        <f t="shared" ca="1" si="0"/>
        <v>1005890.7760000001</v>
      </c>
    </row>
    <row r="54" spans="2:9" x14ac:dyDescent="0.2">
      <c r="B54" s="1" t="s">
        <v>110</v>
      </c>
      <c r="C54" s="2" t="s">
        <v>111</v>
      </c>
      <c r="D54" s="4" t="e" vm="52">
        <v>#VALUE!</v>
      </c>
      <c r="E54" s="1" t="str" cm="1">
        <f t="array" aca="1" ref="E54" ca="1">_FV(D54,"Industry")</f>
        <v>Machinery, Equipment &amp; Components</v>
      </c>
      <c r="F54" t="str" cm="1">
        <f t="array" aca="1" ref="F54" ca="1">IFERROR(_xlfn.LET(_xlpm.h,_FV(D54,"Headquarters"),_xlpm.p,TRIM(_xlfn.TEXTSPLIT(_xlpm.h,",")),_xlpm.n,COLUMNS(_xlpm.p),_xlpm.z,INDEX(_xlpm.p,1,_xlpm.n),_xlpm.c,INDEX(_xlpm.p,1,_xlpm.n-2),_xlpm.s,INDEX(_xlpm.p,1,_xlpm.n-1),IF(_xlpm.n&lt;4,_xlpm.s,IF(RIGHT(_xlpm.z,2)="IE",_xlpm.s&amp;", "&amp;_xlfn.TEXTBEFORE(_xlpm.z," ",-1),IF(UPPER(LEFT(_xlpm.c,3))="BOX",_xlpm.s,_xlpm.c&amp;", "&amp;_xlpm.s)))),"")</f>
        <v>HOUSTON, TX</v>
      </c>
      <c r="G54" s="5" cm="1">
        <f t="array" aca="1" ref="G54" ca="1">_FV(D54,"price")</f>
        <v>192.62</v>
      </c>
      <c r="H54" s="6" cm="1">
        <f t="array" aca="1" ref="H54" ca="1">_FV(D54,"Shares outstanding",TRUE)/1000</f>
        <v>36432.559999999998</v>
      </c>
      <c r="I54" s="7">
        <f t="shared" ca="1" si="0"/>
        <v>7017639.7072000001</v>
      </c>
    </row>
    <row r="55" spans="2:9" x14ac:dyDescent="0.2">
      <c r="B55" s="1" t="s">
        <v>112</v>
      </c>
      <c r="C55" s="2" t="s">
        <v>113</v>
      </c>
      <c r="D55" s="4" t="e" vm="53">
        <v>#VALUE!</v>
      </c>
      <c r="E55" s="1" t="str" cm="1">
        <f t="array" aca="1" ref="E55" ca="1">_FV(D55,"Industry")</f>
        <v>Telecommunications Services</v>
      </c>
      <c r="F55" t="str" cm="1">
        <f t="array" aca="1" ref="F55" ca="1">IFERROR(_xlfn.LET(_xlpm.h,_FV(D55,"Headquarters"),_xlpm.p,TRIM(_xlfn.TEXTSPLIT(_xlpm.h,",")),_xlpm.n,COLUMNS(_xlpm.p),_xlpm.z,INDEX(_xlpm.p,1,_xlpm.n),_xlpm.c,INDEX(_xlpm.p,1,_xlpm.n-2),_xlpm.s,INDEX(_xlpm.p,1,_xlpm.n-1),IF(_xlpm.n&lt;4,_xlpm.s,IF(RIGHT(_xlpm.z,2)="IE",_xlpm.s&amp;", "&amp;_xlfn.TEXTBEFORE(_xlpm.z," ",-1),IF(UPPER(LEFT(_xlpm.c,3))="BOX",_xlpm.s,_xlpm.c&amp;", "&amp;_xlpm.s)))),"")</f>
        <v>ISSY-LES-MOULINEAUX, HAUTS-DE-SEINE</v>
      </c>
      <c r="G55" s="5" cm="1">
        <f t="array" aca="1" ref="G55" ca="1">_FV(D55,"price")</f>
        <v>15.08</v>
      </c>
      <c r="H55" s="6" cm="1">
        <f t="array" aca="1" ref="H55" ca="1">_FV(D55,"Shares outstanding",TRUE)/1000</f>
        <v>2660057</v>
      </c>
      <c r="I55" s="7">
        <f t="shared" ca="1" si="0"/>
        <v>40113659.560000002</v>
      </c>
    </row>
    <row r="56" spans="2:9" x14ac:dyDescent="0.2">
      <c r="B56" s="1" t="s">
        <v>114</v>
      </c>
      <c r="C56" s="2" t="s">
        <v>115</v>
      </c>
      <c r="D56" s="4" t="e" vm="54">
        <v>#VALUE!</v>
      </c>
      <c r="E56" s="1" t="e" cm="1" vm="55">
        <f t="array" ref="E56">_FV(D56,"Industry")</f>
        <v>#VALUE!</v>
      </c>
      <c r="F56" t="str" cm="1">
        <f t="array" ref="F56">IFERROR(_xlfn.LET(_xlpm.h,_FV(D56,"Headquarters"),_xlpm.p,TRIM(_xlfn.TEXTSPLIT(_xlpm.h,",")),_xlpm.n,COLUMNS(_xlpm.p),_xlpm.z,INDEX(_xlpm.p,1,_xlpm.n),_xlpm.c,INDEX(_xlpm.p,1,_xlpm.n-2),_xlpm.s,INDEX(_xlpm.p,1,_xlpm.n-1),IF(_xlpm.n&lt;4,_xlpm.s,IF(RIGHT(_xlpm.z,2)="IE",_xlpm.s&amp;", "&amp;_xlfn.TEXTBEFORE(_xlpm.z," ",-1),IF(UPPER(LEFT(_xlpm.c,3))="BOX",_xlpm.s,_xlpm.c&amp;", "&amp;_xlpm.s)))),"")</f>
        <v/>
      </c>
      <c r="G56" s="5" cm="1">
        <f t="array" aca="1" ref="G56" ca="1">_FV(D56,"price")</f>
        <v>28.064699999999998</v>
      </c>
      <c r="H56" s="6"/>
      <c r="I56" s="7"/>
    </row>
    <row r="57" spans="2:9" x14ac:dyDescent="0.2">
      <c r="B57" s="1" t="s">
        <v>116</v>
      </c>
      <c r="C57" s="2" t="s">
        <v>117</v>
      </c>
      <c r="D57" s="4" t="e" vm="56">
        <v>#VALUE!</v>
      </c>
      <c r="E57" s="1" t="str" cm="1">
        <f t="array" aca="1" ref="E57" ca="1">_FV(D57,"Industry")</f>
        <v>Machinery, Equipment &amp; Components</v>
      </c>
      <c r="F57" t="str" cm="1">
        <f t="array" aca="1" ref="F57" ca="1">IFERROR(_xlfn.LET(_xlpm.h,_FV(D57,"Headquarters"),_xlpm.p,TRIM(_xlfn.TEXTSPLIT(_xlpm.h,",")),_xlpm.n,COLUMNS(_xlpm.p),_xlpm.z,INDEX(_xlpm.p,1,_xlpm.n),_xlpm.c,INDEX(_xlpm.p,1,_xlpm.n-2),_xlpm.s,INDEX(_xlpm.p,1,_xlpm.n-1),IF(_xlpm.n&lt;4,_xlpm.s,IF(RIGHT(_xlpm.z,2)="IE",_xlpm.s&amp;", "&amp;_xlfn.TEXTBEFORE(_xlpm.z," ",-1),IF(UPPER(LEFT(_xlpm.c,3))="BOX",_xlpm.s,_xlpm.c&amp;", "&amp;_xlpm.s)))),"")</f>
        <v>DAYTON, MN</v>
      </c>
      <c r="G57" s="5" cm="1">
        <f t="array" aca="1" ref="G57" ca="1">_FV(D57,"price")</f>
        <v>39.880000000000003</v>
      </c>
      <c r="H57" s="6" cm="1">
        <f t="array" aca="1" ref="H57" ca="1">_FV(D57,"Shares outstanding",TRUE)/1000</f>
        <v>304428.90000000002</v>
      </c>
      <c r="I57" s="7">
        <f t="shared" ca="1" si="0"/>
        <v>12140624.532000002</v>
      </c>
    </row>
    <row r="58" spans="2:9" x14ac:dyDescent="0.2">
      <c r="B58" s="1" t="s">
        <v>118</v>
      </c>
      <c r="C58" s="2" t="s">
        <v>119</v>
      </c>
      <c r="D58" s="4" t="e" vm="57">
        <v>#VALUE!</v>
      </c>
      <c r="E58" s="1" t="str" cm="1">
        <f t="array" aca="1" ref="E58" ca="1">_FV(D58,"Industry")</f>
        <v>Electrical Utilities &amp; IPPs</v>
      </c>
      <c r="F58" t="str" cm="1">
        <f t="array" aca="1" ref="F58" ca="1">IFERROR(_xlfn.LET(_xlpm.h,_FV(D58,"Headquarters"),_xlpm.p,TRIM(_xlfn.TEXTSPLIT(_xlpm.h,",")),_xlpm.n,COLUMNS(_xlpm.p),_xlpm.z,INDEX(_xlpm.p,1,_xlpm.n),_xlpm.c,INDEX(_xlpm.p,1,_xlpm.n-2),_xlpm.s,INDEX(_xlpm.p,1,_xlpm.n-1),IF(_xlpm.n&lt;4,_xlpm.s,IF(RIGHT(_xlpm.z,2)="IE",_xlpm.s&amp;", "&amp;_xlfn.TEXTBEFORE(_xlpm.z," ",-1),IF(UPPER(LEFT(_xlpm.c,3))="BOX",_xlpm.s,_xlpm.c&amp;", "&amp;_xlpm.s)))),"")</f>
        <v>MADISON, WI</v>
      </c>
      <c r="G58" s="5" cm="1">
        <f t="array" aca="1" ref="G58" ca="1">_FV(D58,"price")</f>
        <v>70.86</v>
      </c>
      <c r="H58" s="6" cm="1">
        <f t="array" aca="1" ref="H58" ca="1">_FV(D58,"Shares outstanding",TRUE)/1000</f>
        <v>37784.01</v>
      </c>
      <c r="I58" s="7">
        <f t="shared" ca="1" si="0"/>
        <v>2677374.9486000002</v>
      </c>
    </row>
    <row r="59" spans="2:9" x14ac:dyDescent="0.2">
      <c r="B59" s="1" t="s">
        <v>120</v>
      </c>
      <c r="C59" s="2" t="s">
        <v>121</v>
      </c>
      <c r="D59" s="4" t="e" vm="58">
        <v>#VALUE!</v>
      </c>
      <c r="E59" s="1" t="str" cm="1">
        <f t="array" aca="1" ref="E59" ca="1">_FV(D59,"Industry")</f>
        <v>Machinery, Equipment &amp; Components</v>
      </c>
      <c r="F59" t="str" cm="1">
        <f t="array" aca="1" ref="F59" ca="1">IFERROR(_xlfn.LET(_xlpm.h,_FV(D59,"Headquarters"),_xlpm.p,TRIM(_xlfn.TEXTSPLIT(_xlpm.h,",")),_xlpm.n,COLUMNS(_xlpm.p),_xlpm.z,INDEX(_xlpm.p,1,_xlpm.n),_xlpm.c,INDEX(_xlpm.p,1,_xlpm.n-2),_xlpm.s,INDEX(_xlpm.p,1,_xlpm.n-1),IF(_xlpm.n&lt;4,_xlpm.s,IF(RIGHT(_xlpm.z,2)="IE",_xlpm.s&amp;", "&amp;_xlfn.TEXTBEFORE(_xlpm.z," ",-1),IF(UPPER(LEFT(_xlpm.c,3))="BOX",_xlpm.s,_xlpm.c&amp;", "&amp;_xlpm.s)))),"")</f>
        <v>WOOD DALE, IL</v>
      </c>
      <c r="G59" s="5" cm="1">
        <f t="array" aca="1" ref="G59" ca="1">_FV(D59,"price")</f>
        <v>46.88</v>
      </c>
      <c r="H59" s="6" cm="1">
        <f t="array" aca="1" ref="H59" ca="1">_FV(D59,"Shares outstanding",TRUE)/1000</f>
        <v>23065.45</v>
      </c>
      <c r="I59" s="7">
        <f t="shared" ca="1" si="0"/>
        <v>1081308.2960000001</v>
      </c>
    </row>
    <row r="60" spans="2:9" x14ac:dyDescent="0.2">
      <c r="B60" s="1" t="s">
        <v>122</v>
      </c>
      <c r="C60" s="2" t="s">
        <v>123</v>
      </c>
      <c r="D60" s="4" t="e" vm="59">
        <v>#VALUE!</v>
      </c>
      <c r="E60" s="1" t="str" cm="1">
        <f t="array" aca="1" ref="E60" ca="1">_FV(D60,"Industry")</f>
        <v>Renewable Energy</v>
      </c>
      <c r="F60" t="str" cm="1">
        <f t="array" aca="1" ref="F60" ca="1">IFERROR(_xlfn.LET(_xlpm.h,_FV(D60,"Headquarters"),_xlpm.p,TRIM(_xlfn.TEXTSPLIT(_xlpm.h,",")),_xlpm.n,COLUMNS(_xlpm.p),_xlpm.z,INDEX(_xlpm.p,1,_xlpm.n),_xlpm.c,INDEX(_xlpm.p,1,_xlpm.n-2),_xlpm.s,INDEX(_xlpm.p,1,_xlpm.n-1),IF(_xlpm.n&lt;4,_xlpm.s,IF(RIGHT(_xlpm.z,2)="IE",_xlpm.s&amp;", "&amp;_xlfn.TEXTBEFORE(_xlpm.z," ",-1),IF(UPPER(LEFT(_xlpm.c,3))="BOX",_xlpm.s,_xlpm.c&amp;", "&amp;_xlpm.s)))),"")</f>
        <v>SLINGERLANDS, NY</v>
      </c>
      <c r="G60" s="5" cm="1">
        <f t="array" aca="1" ref="G60" ca="1">_FV(D60,"price")</f>
        <v>2.04</v>
      </c>
      <c r="H60" s="6" cm="1">
        <f t="array" aca="1" ref="H60" ca="1">_FV(D60,"Shares outstanding",TRUE)/1000</f>
        <v>1397195</v>
      </c>
      <c r="I60" s="7">
        <f t="shared" ca="1" si="0"/>
        <v>2850277.8000000003</v>
      </c>
    </row>
    <row r="61" spans="2:9" x14ac:dyDescent="0.2">
      <c r="B61" s="1" t="s">
        <v>124</v>
      </c>
      <c r="C61" s="2" t="s">
        <v>125</v>
      </c>
      <c r="D61" s="4" t="e" vm="60">
        <v>#VALUE!</v>
      </c>
      <c r="E61" s="1" t="str" cm="1">
        <f t="array" aca="1" ref="E61" ca="1">_FV(D61,"Industry")</f>
        <v>Homebuilding &amp; Construction Supplies</v>
      </c>
      <c r="F61" t="str" cm="1">
        <f t="array" aca="1" ref="F61" ca="1">IFERROR(_xlfn.LET(_xlpm.h,_FV(D61,"Headquarters"),_xlpm.p,TRIM(_xlfn.TEXTSPLIT(_xlpm.h,",")),_xlpm.n,COLUMNS(_xlpm.p),_xlpm.z,INDEX(_xlpm.p,1,_xlpm.n),_xlpm.c,INDEX(_xlpm.p,1,_xlpm.n-2),_xlpm.s,INDEX(_xlpm.p,1,_xlpm.n-1),IF(_xlpm.n&lt;4,_xlpm.s,IF(RIGHT(_xlpm.z,2)="IE",_xlpm.s&amp;", "&amp;_xlfn.TEXTBEFORE(_xlpm.z," ",-1),IF(UPPER(LEFT(_xlpm.c,3))="BOX",_xlpm.s,_xlpm.c&amp;", "&amp;_xlpm.s)))),"")</f>
        <v>CINCINNATI, OH</v>
      </c>
      <c r="G61" s="5" cm="1">
        <f t="array" aca="1" ref="G61" ca="1">_FV(D61,"price")</f>
        <v>20.239999999999998</v>
      </c>
      <c r="H61" s="6" cm="1">
        <f t="array" aca="1" ref="H61" ca="1">_FV(D61,"Shares outstanding",TRUE)/1000</f>
        <v>37261.339999999997</v>
      </c>
      <c r="I61" s="7">
        <f t="shared" ca="1" si="0"/>
        <v>754169.52159999986</v>
      </c>
    </row>
    <row r="62" spans="2:9" x14ac:dyDescent="0.2">
      <c r="B62" s="1" t="s">
        <v>126</v>
      </c>
      <c r="C62" s="2" t="s">
        <v>127</v>
      </c>
      <c r="D62" s="4" t="e" vm="61">
        <v>#VALUE!</v>
      </c>
      <c r="E62" s="1" t="str" cm="1">
        <f t="array" aca="1" ref="E62" ca="1">_FV(D62,"Industry")</f>
        <v>Machinery, Equipment &amp; Components</v>
      </c>
      <c r="F62" t="str" cm="1">
        <f t="array" aca="1" ref="F62" ca="1">IFERROR(_xlfn.LET(_xlpm.h,_FV(D62,"Headquarters"),_xlpm.p,TRIM(_xlfn.TEXTSPLIT(_xlpm.h,",")),_xlpm.n,COLUMNS(_xlpm.p),_xlpm.z,INDEX(_xlpm.p,1,_xlpm.n),_xlpm.c,INDEX(_xlpm.p,1,_xlpm.n-2),_xlpm.s,INDEX(_xlpm.p,1,_xlpm.n-1),IF(_xlpm.n&lt;4,_xlpm.s,IF(RIGHT(_xlpm.z,2)="IE",_xlpm.s&amp;", "&amp;_xlfn.TEXTBEFORE(_xlpm.z," ",-1),IF(UPPER(LEFT(_xlpm.c,3))="BOX",_xlpm.s,_xlpm.c&amp;", "&amp;_xlpm.s)))),"")</f>
        <v>MAYFIELD VILLAGE, OH</v>
      </c>
      <c r="G62" s="5" cm="1">
        <f t="array" aca="1" ref="G62" ca="1">_FV(D62,"price")</f>
        <v>427.28</v>
      </c>
      <c r="H62" s="6" cm="1">
        <f t="array" aca="1" ref="H62" ca="1">_FV(D62,"Shares outstanding",TRUE)/1000</f>
        <v>4888.7</v>
      </c>
      <c r="I62" s="7">
        <f t="shared" ca="1" si="0"/>
        <v>2088843.7359999998</v>
      </c>
    </row>
    <row r="63" spans="2:9" x14ac:dyDescent="0.2">
      <c r="B63" s="1" t="s">
        <v>128</v>
      </c>
      <c r="C63" s="2" t="s">
        <v>129</v>
      </c>
      <c r="D63" s="4" t="e" vm="62">
        <v>#VALUE!</v>
      </c>
      <c r="E63" s="1" t="str" cm="1">
        <f t="array" aca="1" ref="E63" ca="1">_FV(D63,"Industry")</f>
        <v>Machinery, Equipment &amp; Components</v>
      </c>
      <c r="F63" t="str" cm="1">
        <f t="array" aca="1" ref="F63" ca="1">IFERROR(_xlfn.LET(_xlpm.h,_FV(D63,"Headquarters"),_xlpm.p,TRIM(_xlfn.TEXTSPLIT(_xlpm.h,",")),_xlpm.n,COLUMNS(_xlpm.p),_xlpm.z,INDEX(_xlpm.p,1,_xlpm.n),_xlpm.c,INDEX(_xlpm.p,1,_xlpm.n-2),_xlpm.s,INDEX(_xlpm.p,1,_xlpm.n-1),IF(_xlpm.n&lt;4,_xlpm.s,IF(RIGHT(_xlpm.z,2)="IE",_xlpm.s&amp;", "&amp;_xlfn.TEXTBEFORE(_xlpm.z," ",-1),IF(UPPER(LEFT(_xlpm.c,3))="BOX",_xlpm.s,_xlpm.c&amp;", "&amp;_xlpm.s)))),"")</f>
        <v>GUELPH, ON</v>
      </c>
      <c r="G63" s="5" cm="1">
        <f t="array" aca="1" ref="G63" ca="1">_FV(D63,"price")</f>
        <v>274.61</v>
      </c>
      <c r="H63" s="6" cm="1">
        <f t="array" aca="1" ref="H63" ca="1">_FV(D63,"Shares outstanding",TRUE)/1000</f>
        <v>9126.6200000000008</v>
      </c>
      <c r="I63" s="7">
        <f t="shared" ca="1" si="0"/>
        <v>2506261.1182000004</v>
      </c>
    </row>
    <row r="64" spans="2:9" x14ac:dyDescent="0.2">
      <c r="B64" s="1" t="s">
        <v>130</v>
      </c>
      <c r="C64" s="2" t="s">
        <v>131</v>
      </c>
      <c r="D64" s="4" t="e" vm="63">
        <v>#VALUE!</v>
      </c>
      <c r="E64" s="1" t="str" cm="1">
        <f t="array" aca="1" ref="E64" ca="1">_FV(D64,"Industry")</f>
        <v>Machinery, Equipment &amp; Components</v>
      </c>
      <c r="F64" t="str" cm="1">
        <f t="array" aca="1" ref="F64" ca="1">IFERROR(_xlfn.LET(_xlpm.h,_FV(D64,"Headquarters"),_xlpm.p,TRIM(_xlfn.TEXTSPLIT(_xlpm.h,",")),_xlpm.n,COLUMNS(_xlpm.p),_xlpm.z,INDEX(_xlpm.p,1,_xlpm.n),_xlpm.c,INDEX(_xlpm.p,1,_xlpm.n-2),_xlpm.s,INDEX(_xlpm.p,1,_xlpm.n-1),IF(_xlpm.n&lt;4,_xlpm.s,IF(RIGHT(_xlpm.z,2)="IE",_xlpm.s&amp;", "&amp;_xlfn.TEXTBEFORE(_xlpm.z," ",-1),IF(UPPER(LEFT(_xlpm.c,3))="BOX",_xlpm.s,_xlpm.c&amp;", "&amp;_xlpm.s)))),"")</f>
        <v>AKRON, OH</v>
      </c>
      <c r="G64" s="5" cm="1">
        <f t="array" aca="1" ref="G64" ca="1">_FV(D64,"price")</f>
        <v>6.64</v>
      </c>
      <c r="H64" s="6" cm="1">
        <f t="array" aca="1" ref="H64" ca="1">_FV(D64,"Shares outstanding",TRUE)/1000</f>
        <v>148965.1</v>
      </c>
      <c r="I64" s="7">
        <f t="shared" ca="1" si="0"/>
        <v>989128.26399999997</v>
      </c>
    </row>
    <row r="65" spans="2:9" x14ac:dyDescent="0.2">
      <c r="B65" s="1" t="s">
        <v>132</v>
      </c>
      <c r="C65" s="2" t="s">
        <v>133</v>
      </c>
      <c r="D65" s="4" t="e" vm="64">
        <v>#VALUE!</v>
      </c>
      <c r="E65" s="1" t="str" cm="1">
        <f t="array" aca="1" ref="E65" ca="1">_FV(D65,"Industry")</f>
        <v>Machinery, Equipment &amp; Components</v>
      </c>
      <c r="F65" t="str" cm="1">
        <f t="array" aca="1" ref="F65" ca="1">IFERROR(_xlfn.LET(_xlpm.h,_FV(D65,"Headquarters"),_xlpm.p,TRIM(_xlfn.TEXTSPLIT(_xlpm.h,",")),_xlpm.n,COLUMNS(_xlpm.p),_xlpm.z,INDEX(_xlpm.p,1,_xlpm.n),_xlpm.c,INDEX(_xlpm.p,1,_xlpm.n-2),_xlpm.s,INDEX(_xlpm.p,1,_xlpm.n-1),IF(_xlpm.n&lt;4,_xlpm.s,IF(RIGHT(_xlpm.z,2)="IE",_xlpm.s&amp;", "&amp;_xlfn.TEXTBEFORE(_xlpm.z," ",-1),IF(UPPER(LEFT(_xlpm.c,3))="BOX",_xlpm.s,_xlpm.c&amp;", "&amp;_xlpm.s)))),"")</f>
        <v>AMHERST, NY</v>
      </c>
      <c r="G65" s="5" cm="1">
        <f t="array" aca="1" ref="G65" ca="1">_FV(D65,"price")</f>
        <v>113.6</v>
      </c>
      <c r="H65" s="6" cm="1">
        <f t="array" aca="1" ref="H65" ca="1">_FV(D65,"Shares outstanding",TRUE)/1000</f>
        <v>17002.509999999998</v>
      </c>
      <c r="I65" s="7">
        <f t="shared" ca="1" si="0"/>
        <v>1931485.1359999997</v>
      </c>
    </row>
    <row r="66" spans="2:9" x14ac:dyDescent="0.2">
      <c r="B66" s="1" t="s">
        <v>134</v>
      </c>
      <c r="C66" s="2" t="s">
        <v>135</v>
      </c>
      <c r="D66" s="4" t="e" vm="65">
        <v>#VALUE!</v>
      </c>
      <c r="E66" s="1" t="str" cm="1">
        <f t="array" aca="1" ref="E66" ca="1">_FV(D66,"Industry")</f>
        <v>Machinery, Equipment &amp; Components</v>
      </c>
      <c r="F66" t="str" cm="1">
        <f t="array" aca="1" ref="F66" ca="1">IFERROR(_xlfn.LET(_xlpm.h,_FV(D66,"Headquarters"),_xlpm.p,TRIM(_xlfn.TEXTSPLIT(_xlpm.h,",")),_xlpm.n,COLUMNS(_xlpm.p),_xlpm.z,INDEX(_xlpm.p,1,_xlpm.n),_xlpm.c,INDEX(_xlpm.p,1,_xlpm.n-2),_xlpm.s,INDEX(_xlpm.p,1,_xlpm.n-1),IF(_xlpm.n&lt;4,_xlpm.s,IF(RIGHT(_xlpm.z,2)="IE",_xlpm.s&amp;", "&amp;_xlfn.TEXTBEFORE(_xlpm.z," ",-1),IF(UPPER(LEFT(_xlpm.c,3))="BOX",_xlpm.s,_xlpm.c&amp;", "&amp;_xlpm.s)))),"")</f>
        <v>BROOKLYN HEIGHTS, OH</v>
      </c>
      <c r="G66" s="5" cm="1">
        <f t="array" aca="1" ref="G66" ca="1">_FV(D66,"price")</f>
        <v>11.36</v>
      </c>
      <c r="H66" s="6" cm="1">
        <f t="array" aca="1" ref="H66" ca="1">_FV(D66,"Shares outstanding",TRUE)/1000</f>
        <v>26092.16</v>
      </c>
      <c r="I66" s="7">
        <f t="shared" ca="1" si="0"/>
        <v>296406.9376</v>
      </c>
    </row>
    <row r="67" spans="2:9" x14ac:dyDescent="0.2">
      <c r="B67" s="1" t="s">
        <v>136</v>
      </c>
      <c r="C67" s="2" t="s">
        <v>137</v>
      </c>
      <c r="D67" s="4" t="e" vm="66">
        <v>#VALUE!</v>
      </c>
      <c r="E67" s="1" t="str" cm="1">
        <f t="array" aca="1" ref="E67" ca="1">_FV(D67,"Industry")</f>
        <v>Electrical Utilities &amp; IPPs</v>
      </c>
      <c r="F67" t="str" cm="1">
        <f t="array" aca="1" ref="F67" ca="1">IFERROR(_xlfn.LET(_xlpm.h,_FV(D67,"Headquarters"),_xlpm.p,TRIM(_xlfn.TEXTSPLIT(_xlpm.h,",")),_xlpm.n,COLUMNS(_xlpm.p),_xlpm.z,INDEX(_xlpm.p,1,_xlpm.n),_xlpm.c,INDEX(_xlpm.p,1,_xlpm.n-2),_xlpm.s,INDEX(_xlpm.p,1,_xlpm.n-1),IF(_xlpm.n&lt;4,_xlpm.s,IF(RIGHT(_xlpm.z,2)="IE",_xlpm.s&amp;", "&amp;_xlfn.TEXTBEFORE(_xlpm.z," ",-1),IF(UPPER(LEFT(_xlpm.c,3))="BOX",_xlpm.s,_xlpm.c&amp;", "&amp;_xlpm.s)))),"")</f>
        <v>NEWARK, NJ</v>
      </c>
      <c r="G67" s="5" cm="1">
        <f t="array" aca="1" ref="G67" ca="1">_FV(D67,"price")</f>
        <v>15.84</v>
      </c>
      <c r="H67" s="6" cm="1">
        <f t="array" aca="1" ref="H67" ca="1">_FV(D67,"Shares outstanding",TRUE)/1000</f>
        <v>26319.62</v>
      </c>
      <c r="I67" s="7">
        <f t="shared" ca="1" si="0"/>
        <v>416902.78080000001</v>
      </c>
    </row>
    <row r="68" spans="2:9" x14ac:dyDescent="0.2">
      <c r="B68" s="1" t="s">
        <v>138</v>
      </c>
      <c r="C68" s="2" t="s">
        <v>139</v>
      </c>
      <c r="D68" s="4" t="e" vm="67">
        <v>#VALUE!</v>
      </c>
      <c r="E68" s="1" t="str" cm="1">
        <f t="array" aca="1" ref="E68" ca="1">_FV(D68,"Industry")</f>
        <v>Machinery, Equipment &amp; Components</v>
      </c>
      <c r="F68" t="str" cm="1">
        <f t="array" aca="1" ref="F68" ca="1">IFERROR(_xlfn.LET(_xlpm.h,_FV(D68,"Headquarters"),_xlpm.p,TRIM(_xlfn.TEXTSPLIT(_xlpm.h,",")),_xlpm.n,COLUMNS(_xlpm.p),_xlpm.z,INDEX(_xlpm.p,1,_xlpm.n),_xlpm.c,INDEX(_xlpm.p,1,_xlpm.n-2),_xlpm.s,INDEX(_xlpm.p,1,_xlpm.n-1),IF(_xlpm.n&lt;4,_xlpm.s,IF(RIGHT(_xlpm.z,2)="IE",_xlpm.s&amp;", "&amp;_xlfn.TEXTBEFORE(_xlpm.z," ",-1),IF(UPPER(LEFT(_xlpm.c,3))="BOX",_xlpm.s,_xlpm.c&amp;", "&amp;_xlpm.s)))),"")</f>
        <v>PORTLAND, TN</v>
      </c>
      <c r="G68" s="5" cm="1">
        <f t="array" aca="1" ref="G68" ca="1">_FV(D68,"price")</f>
        <v>7.71</v>
      </c>
      <c r="H68" s="6" cm="1">
        <f t="array" aca="1" ref="H68" ca="1">_FV(D68,"Shares outstanding",TRUE)/1000</f>
        <v>168300</v>
      </c>
      <c r="I68" s="7">
        <f t="shared" ref="I68:I130" ca="1" si="1">G68*H68</f>
        <v>1297593</v>
      </c>
    </row>
    <row r="69" spans="2:9" x14ac:dyDescent="0.2">
      <c r="B69" s="1" t="s">
        <v>140</v>
      </c>
      <c r="C69" s="2" t="s">
        <v>141</v>
      </c>
      <c r="D69" s="4" t="e" vm="68">
        <v>#VALUE!</v>
      </c>
      <c r="E69" s="1" t="str" cm="1">
        <f t="array" aca="1" ref="E69" ca="1">_FV(D69,"Industry")</f>
        <v>Electrical Utilities &amp; IPPs</v>
      </c>
      <c r="F69" t="str" cm="1">
        <f t="array" aca="1" ref="F69" ca="1">IFERROR(_xlfn.LET(_xlpm.h,_FV(D69,"Headquarters"),_xlpm.p,TRIM(_xlfn.TEXTSPLIT(_xlpm.h,",")),_xlpm.n,COLUMNS(_xlpm.p),_xlpm.z,INDEX(_xlpm.p,1,_xlpm.n),_xlpm.c,INDEX(_xlpm.p,1,_xlpm.n-2),_xlpm.s,INDEX(_xlpm.p,1,_xlpm.n-1),IF(_xlpm.n&lt;4,_xlpm.s,IF(RIGHT(_xlpm.z,2)="IE",_xlpm.s&amp;", "&amp;_xlfn.TEXTBEFORE(_xlpm.z," ",-1),IF(UPPER(LEFT(_xlpm.c,3))="BOX",_xlpm.s,_xlpm.c&amp;", "&amp;_xlpm.s)))),"")</f>
        <v>TERRE HAUTE, IN</v>
      </c>
      <c r="G69" s="5" cm="1">
        <f t="array" aca="1" ref="G69" ca="1">_FV(D69,"price")</f>
        <v>14.51</v>
      </c>
      <c r="H69" s="6" cm="1">
        <f t="array" aca="1" ref="H69" ca="1">_FV(D69,"Shares outstanding",TRUE)/1000</f>
        <v>47143.360000000001</v>
      </c>
      <c r="I69" s="7">
        <f t="shared" ca="1" si="1"/>
        <v>684050.15359999996</v>
      </c>
    </row>
    <row r="70" spans="2:9" x14ac:dyDescent="0.2">
      <c r="B70" s="1" t="s">
        <v>142</v>
      </c>
      <c r="C70" s="2" t="s">
        <v>143</v>
      </c>
      <c r="D70" s="4" t="e" vm="69">
        <v>#VALUE!</v>
      </c>
      <c r="E70" s="1" t="str" cm="1">
        <f t="array" aca="1" ref="E70" ca="1">_FV(D70,"Industry")</f>
        <v>Electrical Utilities &amp; IPPs</v>
      </c>
      <c r="F70" t="str" cm="1">
        <f t="array" aca="1" ref="F70" ca="1">IFERROR(_xlfn.LET(_xlpm.h,_FV(D70,"Headquarters"),_xlpm.p,TRIM(_xlfn.TEXTSPLIT(_xlpm.h,",")),_xlpm.n,COLUMNS(_xlpm.p),_xlpm.z,INDEX(_xlpm.p,1,_xlpm.n),_xlpm.c,INDEX(_xlpm.p,1,_xlpm.n-2),_xlpm.s,INDEX(_xlpm.p,1,_xlpm.n-1),IF(_xlpm.n&lt;4,_xlpm.s,IF(RIGHT(_xlpm.z,2)="IE",_xlpm.s&amp;", "&amp;_xlfn.TEXTBEFORE(_xlpm.z," ",-1),IF(UPPER(LEFT(_xlpm.c,3))="BOX",_xlpm.s,_xlpm.c&amp;", "&amp;_xlpm.s)))),"")</f>
        <v>COSTA MESA, CA</v>
      </c>
      <c r="G70" s="5" cm="1">
        <f t="array" aca="1" ref="G70" ca="1">_FV(D70,"price")</f>
        <v>9.9999999999999995E-7</v>
      </c>
      <c r="H70" s="6" cm="1">
        <f t="array" aca="1" ref="H70" ca="1">_FV(D70,"Shares outstanding",TRUE)/1000</f>
        <v>30762.12</v>
      </c>
      <c r="I70" s="7">
        <f t="shared" ca="1" si="1"/>
        <v>3.0762119999999997E-2</v>
      </c>
    </row>
    <row r="71" spans="2:9" x14ac:dyDescent="0.2">
      <c r="B71" s="1" t="s">
        <v>144</v>
      </c>
      <c r="C71" s="2" t="s">
        <v>145</v>
      </c>
      <c r="D71" s="4" t="e" vm="70">
        <v>#VALUE!</v>
      </c>
      <c r="E71" s="1" t="str" cm="1">
        <f t="array" aca="1" ref="E71" ca="1">_FV(D71,"Industry")</f>
        <v>Machinery, Equipment &amp; Components</v>
      </c>
      <c r="F71" t="str" cm="1">
        <f t="array" aca="1" ref="F71" ca="1">IFERROR(_xlfn.LET(_xlpm.h,_FV(D71,"Headquarters"),_xlpm.p,TRIM(_xlfn.TEXTSPLIT(_xlpm.h,",")),_xlpm.n,COLUMNS(_xlpm.p),_xlpm.z,INDEX(_xlpm.p,1,_xlpm.n),_xlpm.c,INDEX(_xlpm.p,1,_xlpm.n-2),_xlpm.s,INDEX(_xlpm.p,1,_xlpm.n-1),IF(_xlpm.n&lt;4,_xlpm.s,IF(RIGHT(_xlpm.z,2)="IE",_xlpm.s&amp;", "&amp;_xlfn.TEXTBEFORE(_xlpm.z," ",-1),IF(UPPER(LEFT(_xlpm.c,3))="BOX",_xlpm.s,_xlpm.c&amp;", "&amp;_xlpm.s)))),"")</f>
        <v>CAMPBELL, CA</v>
      </c>
      <c r="G71" s="5" cm="1">
        <f t="array" aca="1" ref="G71" ca="1">_FV(D71,"price")</f>
        <v>9.23</v>
      </c>
      <c r="H71" s="6" cm="1">
        <f t="array" aca="1" ref="H71" ca="1">_FV(D71,"Shares outstanding",TRUE)/1000</f>
        <v>26850.32</v>
      </c>
      <c r="I71" s="7">
        <f t="shared" ca="1" si="1"/>
        <v>247828.45360000001</v>
      </c>
    </row>
    <row r="72" spans="2:9" x14ac:dyDescent="0.2">
      <c r="B72" s="1" t="s">
        <v>146</v>
      </c>
      <c r="C72" s="2" t="s">
        <v>147</v>
      </c>
      <c r="D72" s="4" t="e" vm="71">
        <v>#VALUE!</v>
      </c>
      <c r="E72" s="1" t="str" cm="1">
        <f t="array" aca="1" ref="E72" ca="1">_FV(D72,"Industry")</f>
        <v>Machinery, Equipment &amp; Components</v>
      </c>
      <c r="F72" t="str" cm="1">
        <f t="array" aca="1" ref="F72" ca="1">IFERROR(_xlfn.LET(_xlpm.h,_FV(D72,"Headquarters"),_xlpm.p,TRIM(_xlfn.TEXTSPLIT(_xlpm.h,",")),_xlpm.n,COLUMNS(_xlpm.p),_xlpm.z,INDEX(_xlpm.p,1,_xlpm.n),_xlpm.c,INDEX(_xlpm.p,1,_xlpm.n-2),_xlpm.s,INDEX(_xlpm.p,1,_xlpm.n-1),IF(_xlpm.n&lt;4,_xlpm.s,IF(RIGHT(_xlpm.z,2)="IE",_xlpm.s&amp;", "&amp;_xlfn.TEXTBEFORE(_xlpm.z," ",-1),IF(UPPER(LEFT(_xlpm.c,3))="BOX",_xlpm.s,_xlpm.c&amp;", "&amp;_xlpm.s)))),"")</f>
        <v>ANDOVER, MA</v>
      </c>
      <c r="G72" s="5" cm="1">
        <f t="array" aca="1" ref="G72" ca="1">_FV(D72,"price")</f>
        <v>283.16000000000003</v>
      </c>
      <c r="H72" s="6" cm="1">
        <f t="array" aca="1" ref="H72" ca="1">_FV(D72,"Shares outstanding",TRUE)/1000</f>
        <v>46106.73</v>
      </c>
      <c r="I72" s="7">
        <f t="shared" ca="1" si="1"/>
        <v>13055581.666800002</v>
      </c>
    </row>
    <row r="73" spans="2:9" x14ac:dyDescent="0.2">
      <c r="B73" s="1" t="s">
        <v>148</v>
      </c>
      <c r="C73" s="2" t="s">
        <v>149</v>
      </c>
      <c r="D73" s="4" t="e" vm="72">
        <v>#VALUE!</v>
      </c>
      <c r="E73" s="1" t="str" cm="1">
        <f t="array" aca="1" ref="E73" ca="1">_FV(D73,"Industry")</f>
        <v>Homebuilding &amp; Construction Supplies</v>
      </c>
      <c r="F73" t="str" cm="1">
        <f t="array" aca="1" ref="F73" ca="1">IFERROR(_xlfn.LET(_xlpm.h,_FV(D73,"Headquarters"),_xlpm.p,TRIM(_xlfn.TEXTSPLIT(_xlpm.h,",")),_xlpm.n,COLUMNS(_xlpm.p),_xlpm.z,INDEX(_xlpm.p,1,_xlpm.n),_xlpm.c,INDEX(_xlpm.p,1,_xlpm.n-2),_xlpm.s,INDEX(_xlpm.p,1,_xlpm.n-1),IF(_xlpm.n&lt;4,_xlpm.s,IF(RIGHT(_xlpm.z,2)="IE",_xlpm.s&amp;", "&amp;_xlfn.TEXTBEFORE(_xlpm.z," ",-1),IF(UPPER(LEFT(_xlpm.c,3))="BOX",_xlpm.s,_xlpm.c&amp;", "&amp;_xlpm.s)))),"")</f>
        <v>FREMONT, CA</v>
      </c>
      <c r="G73" s="5" cm="1">
        <f t="array" aca="1" ref="G73" ca="1">_FV(D73,"price")</f>
        <v>0.3</v>
      </c>
      <c r="H73" s="6" cm="1">
        <f t="array" aca="1" ref="H73" ca="1">_FV(D73,"Shares outstanding",TRUE)/1000</f>
        <v>208796.9</v>
      </c>
      <c r="I73" s="7">
        <f t="shared" ca="1" si="1"/>
        <v>62639.069999999992</v>
      </c>
    </row>
    <row r="74" spans="2:9" x14ac:dyDescent="0.2">
      <c r="B74" s="1" t="s">
        <v>150</v>
      </c>
      <c r="C74" s="2" t="s">
        <v>151</v>
      </c>
      <c r="D74" s="4" t="e" vm="73">
        <v>#VALUE!</v>
      </c>
      <c r="E74" s="1" t="str" cm="1">
        <f t="array" aca="1" ref="E74" ca="1">_FV(D74,"Industry")</f>
        <v>Machinery, Equipment &amp; Components</v>
      </c>
      <c r="F74" t="str" cm="1">
        <f t="array" aca="1" ref="F74" ca="1">IFERROR(_xlfn.LET(_xlpm.h,_FV(D74,"Headquarters"),_xlpm.p,TRIM(_xlfn.TEXTSPLIT(_xlpm.h,",")),_xlpm.n,COLUMNS(_xlpm.p),_xlpm.z,INDEX(_xlpm.p,1,_xlpm.n),_xlpm.c,INDEX(_xlpm.p,1,_xlpm.n-2),_xlpm.s,INDEX(_xlpm.p,1,_xlpm.n-1),IF(_xlpm.n&lt;4,_xlpm.s,IF(RIGHT(_xlpm.z,2)="IE",_xlpm.s&amp;", "&amp;_xlfn.TEXTBEFORE(_xlpm.z," ",-1),IF(UPPER(LEFT(_xlpm.c,3))="BOX",_xlpm.s,_xlpm.c&amp;", "&amp;_xlpm.s)))),"")</f>
        <v>AYER, MA</v>
      </c>
      <c r="G74" s="5" cm="1">
        <f t="array" aca="1" ref="G74" ca="1">_FV(D74,"price")</f>
        <v>31.05</v>
      </c>
      <c r="H74" s="6" cm="1">
        <f t="array" aca="1" ref="H74" ca="1">_FV(D74,"Shares outstanding",TRUE)/1000</f>
        <v>48442.14</v>
      </c>
      <c r="I74" s="7">
        <f t="shared" ca="1" si="1"/>
        <v>1504128.4469999999</v>
      </c>
    </row>
    <row r="75" spans="2:9" x14ac:dyDescent="0.2">
      <c r="B75" s="1" t="s">
        <v>152</v>
      </c>
      <c r="C75" s="2" t="s">
        <v>153</v>
      </c>
      <c r="D75" s="4" t="e" vm="74">
        <v>#VALUE!</v>
      </c>
      <c r="E75" s="1" t="str" cm="1">
        <f t="array" aca="1" ref="E75" ca="1">_FV(D75,"Industry")</f>
        <v>Machinery, Equipment &amp; Components</v>
      </c>
      <c r="F75" t="str" cm="1">
        <f t="array" aca="1" ref="F75" ca="1">IFERROR(_xlfn.LET(_xlpm.h,_FV(D75,"Headquarters"),_xlpm.p,TRIM(_xlfn.TEXTSPLIT(_xlpm.h,",")),_xlpm.n,COLUMNS(_xlpm.p),_xlpm.z,INDEX(_xlpm.p,1,_xlpm.n),_xlpm.c,INDEX(_xlpm.p,1,_xlpm.n-2),_xlpm.s,INDEX(_xlpm.p,1,_xlpm.n-1),IF(_xlpm.n&lt;4,_xlpm.s,IF(RIGHT(_xlpm.z,2)="IE",_xlpm.s&amp;", "&amp;_xlfn.TEXTBEFORE(_xlpm.z," ",-1),IF(UPPER(LEFT(_xlpm.c,3))="BOX",_xlpm.s,_xlpm.c&amp;", "&amp;_xlpm.s)))),"")</f>
        <v>WESTLAKE VILLAGE, CA</v>
      </c>
      <c r="G75" s="5" cm="1">
        <f t="array" aca="1" ref="G75" ca="1">_FV(D75,"price")</f>
        <v>4.43</v>
      </c>
      <c r="H75" s="6" cm="1">
        <f t="array" aca="1" ref="H75" ca="1">_FV(D75,"Shares outstanding",TRUE)/1000</f>
        <v>181839.6</v>
      </c>
      <c r="I75" s="7">
        <f t="shared" ca="1" si="1"/>
        <v>805549.42799999996</v>
      </c>
    </row>
    <row r="76" spans="2:9" x14ac:dyDescent="0.2">
      <c r="B76" s="1" t="s">
        <v>154</v>
      </c>
      <c r="C76" s="2" t="s">
        <v>155</v>
      </c>
      <c r="D76" s="4" t="e" vm="75">
        <v>#VALUE!</v>
      </c>
      <c r="E76" s="1" t="str" cm="1">
        <f t="array" aca="1" ref="E76" ca="1">_FV(D76,"Industry")</f>
        <v>Machinery, Equipment &amp; Components</v>
      </c>
      <c r="F76" t="str" cm="1">
        <f t="array" aca="1" ref="F76" ca="1">IFERROR(_xlfn.LET(_xlpm.h,_FV(D76,"Headquarters"),_xlpm.p,TRIM(_xlfn.TEXTSPLIT(_xlpm.h,",")),_xlpm.n,COLUMNS(_xlpm.p),_xlpm.z,INDEX(_xlpm.p,1,_xlpm.n),_xlpm.c,INDEX(_xlpm.p,1,_xlpm.n-2),_xlpm.s,INDEX(_xlpm.p,1,_xlpm.n-1),IF(_xlpm.n&lt;4,_xlpm.s,IF(RIGHT(_xlpm.z,2)="IE",_xlpm.s&amp;", "&amp;_xlfn.TEXTBEFORE(_xlpm.z," ",-1),IF(UPPER(LEFT(_xlpm.c,3))="BOX",_xlpm.s,_xlpm.c&amp;", "&amp;_xlpm.s)))),"")</f>
        <v>GUELPH, ON</v>
      </c>
      <c r="G76" s="5" cm="1">
        <f t="array" aca="1" ref="G76" ca="1">_FV(D76,"price")</f>
        <v>28.9</v>
      </c>
      <c r="H76" s="6" cm="1">
        <f t="array" aca="1" ref="H76" ca="1">_FV(D76,"Shares outstanding",TRUE)/1000</f>
        <v>8556</v>
      </c>
      <c r="I76" s="7">
        <f t="shared" ca="1" si="1"/>
        <v>247268.4</v>
      </c>
    </row>
    <row r="77" spans="2:9" x14ac:dyDescent="0.2">
      <c r="B77" s="1" t="s">
        <v>156</v>
      </c>
      <c r="C77" s="2" t="s">
        <v>157</v>
      </c>
      <c r="D77" s="4" t="e" vm="76">
        <v>#VALUE!</v>
      </c>
      <c r="E77" s="1" t="str" cm="1">
        <f t="array" aca="1" ref="E77" ca="1">_FV(D77,"Industry")</f>
        <v>Machinery, Equipment &amp; Components</v>
      </c>
      <c r="F77" t="str" cm="1">
        <f t="array" aca="1" ref="F77" ca="1">IFERROR(_xlfn.LET(_xlpm.h,_FV(D77,"Headquarters"),_xlpm.p,TRIM(_xlfn.TEXTSPLIT(_xlpm.h,",")),_xlpm.n,COLUMNS(_xlpm.p),_xlpm.z,INDEX(_xlpm.p,1,_xlpm.n),_xlpm.c,INDEX(_xlpm.p,1,_xlpm.n-2),_xlpm.s,INDEX(_xlpm.p,1,_xlpm.n-1),IF(_xlpm.n&lt;4,_xlpm.s,IF(RIGHT(_xlpm.z,2)="IE",_xlpm.s&amp;", "&amp;_xlfn.TEXTBEFORE(_xlpm.z," ",-1),IF(UPPER(LEFT(_xlpm.c,3))="BOX",_xlpm.s,_xlpm.c&amp;", "&amp;_xlpm.s)))),"")</f>
        <v>NEWARK, NY</v>
      </c>
      <c r="G77" s="5" cm="1">
        <f t="array" aca="1" ref="G77" ca="1">_FV(D77,"price")</f>
        <v>5.9</v>
      </c>
      <c r="H77" s="6" cm="1">
        <f t="array" aca="1" ref="H77" ca="1">_FV(D77,"Shares outstanding",TRUE)/1000</f>
        <v>16663.27</v>
      </c>
      <c r="I77" s="7">
        <f t="shared" ca="1" si="1"/>
        <v>98313.293000000005</v>
      </c>
    </row>
    <row r="78" spans="2:9" x14ac:dyDescent="0.2">
      <c r="B78" s="1" t="s">
        <v>158</v>
      </c>
      <c r="C78" s="2" t="s">
        <v>159</v>
      </c>
      <c r="D78" s="4" t="e" vm="77">
        <v>#VALUE!</v>
      </c>
      <c r="E78" s="1" t="str" cm="1">
        <f t="array" aca="1" ref="E78" ca="1">_FV(D78,"Industry")</f>
        <v>Machinery, Equipment &amp; Components</v>
      </c>
      <c r="F78" t="str" cm="1">
        <f t="array" aca="1" ref="F78" ca="1">IFERROR(_xlfn.LET(_xlpm.h,_FV(D78,"Headquarters"),_xlpm.p,TRIM(_xlfn.TEXTSPLIT(_xlpm.h,",")),_xlpm.n,COLUMNS(_xlpm.p),_xlpm.z,INDEX(_xlpm.p,1,_xlpm.n),_xlpm.c,INDEX(_xlpm.p,1,_xlpm.n-2),_xlpm.s,INDEX(_xlpm.p,1,_xlpm.n-1),IF(_xlpm.n&lt;4,_xlpm.s,IF(RIGHT(_xlpm.z,2)="IE",_xlpm.s&amp;", "&amp;_xlfn.TEXTBEFORE(_xlpm.z," ",-1),IF(UPPER(LEFT(_xlpm.c,3))="BOX",_xlpm.s,_xlpm.c&amp;", "&amp;_xlpm.s)))),"")</f>
        <v>HOUSTON, TX</v>
      </c>
      <c r="G78" s="5" cm="1">
        <f t="array" aca="1" ref="G78" ca="1">_FV(D78,"price")</f>
        <v>12.52</v>
      </c>
      <c r="H78" s="6" cm="1">
        <f t="array" aca="1" ref="H78" ca="1">_FV(D78,"Shares outstanding",TRUE)/1000</f>
        <v>219400.1</v>
      </c>
      <c r="I78" s="7">
        <f t="shared" ca="1" si="1"/>
        <v>2746889.2519999999</v>
      </c>
    </row>
    <row r="79" spans="2:9" x14ac:dyDescent="0.2">
      <c r="B79" s="1" t="s">
        <v>160</v>
      </c>
      <c r="C79" s="2" t="s">
        <v>161</v>
      </c>
      <c r="D79" s="4" t="e" vm="78">
        <v>#VALUE!</v>
      </c>
      <c r="E79" s="1" t="str" cm="1">
        <f t="array" aca="1" ref="E79" ca="1">_FV(D79,"Industry")</f>
        <v>Electrical Utilities &amp; IPPs</v>
      </c>
      <c r="F79" t="str" cm="1">
        <f t="array" aca="1" ref="F79" ca="1">IFERROR(_xlfn.LET(_xlpm.h,_FV(D79,"Headquarters"),_xlpm.p,TRIM(_xlfn.TEXTSPLIT(_xlpm.h,",")),_xlpm.n,COLUMNS(_xlpm.p),_xlpm.z,INDEX(_xlpm.p,1,_xlpm.n),_xlpm.c,INDEX(_xlpm.p,1,_xlpm.n-2),_xlpm.s,INDEX(_xlpm.p,1,_xlpm.n-1),IF(_xlpm.n&lt;4,_xlpm.s,IF(RIGHT(_xlpm.z,2)="IE",_xlpm.s&amp;", "&amp;_xlfn.TEXTBEFORE(_xlpm.z," ",-1),IF(UPPER(LEFT(_xlpm.c,3))="BOX",_xlpm.s,_xlpm.c&amp;", "&amp;_xlpm.s)))),"")</f>
        <v>PITTSBURGH, PA</v>
      </c>
      <c r="G79" s="5" cm="1">
        <f t="array" aca="1" ref="G79" ca="1">_FV(D79,"price")</f>
        <v>2.2749999999999999</v>
      </c>
      <c r="H79" s="6" cm="1">
        <f t="array" aca="1" ref="H79" ca="1">_FV(D79,"Shares outstanding",TRUE)/1000</f>
        <v>142341.1</v>
      </c>
      <c r="I79" s="7">
        <f t="shared" ca="1" si="1"/>
        <v>323826.0025</v>
      </c>
    </row>
    <row r="80" spans="2:9" x14ac:dyDescent="0.2">
      <c r="B80" s="1" t="s">
        <v>162</v>
      </c>
      <c r="C80" s="2" t="s">
        <v>163</v>
      </c>
      <c r="D80" s="4" t="s">
        <v>163</v>
      </c>
      <c r="E80" s="1"/>
      <c r="F80" t="str" cm="1">
        <f t="array" ref="F80">IFERROR(_xlfn.LET(_xlpm.h,_FV(D80,"Headquarters"),_xlpm.p,TRIM(_xlfn.TEXTSPLIT(_xlpm.h,",")),_xlpm.n,COLUMNS(_xlpm.p),_xlpm.z,INDEX(_xlpm.p,1,_xlpm.n),_xlpm.c,INDEX(_xlpm.p,1,_xlpm.n-2),_xlpm.s,INDEX(_xlpm.p,1,_xlpm.n-1),IF(_xlpm.n&lt;4,_xlpm.s,IF(RIGHT(_xlpm.z,2)="IE",_xlpm.s&amp;", "&amp;_xlfn.TEXTBEFORE(_xlpm.z," ",-1),IF(UPPER(LEFT(_xlpm.c,3))="BOX",_xlpm.s,_xlpm.c&amp;", "&amp;_xlpm.s)))),"")</f>
        <v/>
      </c>
      <c r="G80" s="5"/>
      <c r="H80" s="6"/>
      <c r="I80" s="7"/>
    </row>
    <row r="81" spans="2:9" x14ac:dyDescent="0.2">
      <c r="B81" s="1" t="s">
        <v>164</v>
      </c>
      <c r="C81" s="2" t="s">
        <v>165</v>
      </c>
      <c r="D81" s="4" t="e" vm="79">
        <v>#VALUE!</v>
      </c>
      <c r="E81" s="1" t="str" cm="1">
        <f t="array" aca="1" ref="E81" ca="1">_FV(D81,"Industry")</f>
        <v>Electrical Utilities &amp; IPPs</v>
      </c>
      <c r="F81" t="str" cm="1">
        <f t="array" aca="1" ref="F81" ca="1">IFERROR(_xlfn.LET(_xlpm.h,_FV(D81,"Headquarters"),_xlpm.p,TRIM(_xlfn.TEXTSPLIT(_xlpm.h,",")),_xlpm.n,COLUMNS(_xlpm.p),_xlpm.z,INDEX(_xlpm.p,1,_xlpm.n),_xlpm.c,INDEX(_xlpm.p,1,_xlpm.n-2),_xlpm.s,INDEX(_xlpm.p,1,_xlpm.n-1),IF(_xlpm.n&lt;4,_xlpm.s,IF(RIGHT(_xlpm.z,2)="IE",_xlpm.s&amp;", "&amp;_xlfn.TEXTBEFORE(_xlpm.z," ",-1),IF(UPPER(LEFT(_xlpm.c,3))="BOX",_xlpm.s,_xlpm.c&amp;", "&amp;_xlpm.s)))),"")</f>
        <v>HOUSTON, TX</v>
      </c>
      <c r="G81" s="5" cm="1">
        <f t="array" aca="1" ref="G81" ca="1">_FV(D81,"price")</f>
        <v>7.0599999999999996E-2</v>
      </c>
      <c r="H81" s="6" cm="1">
        <f t="array" aca="1" ref="H81" ca="1">_FV(D81,"Shares outstanding",TRUE)/1000</f>
        <v>37258.67</v>
      </c>
      <c r="I81" s="7">
        <f t="shared" ca="1" si="1"/>
        <v>2630.4621019999995</v>
      </c>
    </row>
    <row r="82" spans="2:9" x14ac:dyDescent="0.2">
      <c r="B82" s="1" t="s">
        <v>166</v>
      </c>
      <c r="C82" s="2" t="s">
        <v>167</v>
      </c>
      <c r="D82" s="4" t="e" vm="80">
        <v>#VALUE!</v>
      </c>
      <c r="E82" s="1" t="str" cm="1">
        <f t="array" aca="1" ref="E82" ca="1">_FV(D82,"Industry")</f>
        <v>Renewable Energy</v>
      </c>
      <c r="F82" t="str" cm="1">
        <f t="array" aca="1" ref="F82" ca="1">IFERROR(_xlfn.LET(_xlpm.h,_FV(D82,"Headquarters"),_xlpm.p,TRIM(_xlfn.TEXTSPLIT(_xlpm.h,",")),_xlpm.n,COLUMNS(_xlpm.p),_xlpm.z,INDEX(_xlpm.p,1,_xlpm.n),_xlpm.c,INDEX(_xlpm.p,1,_xlpm.n-2),_xlpm.s,INDEX(_xlpm.p,1,_xlpm.n-1),IF(_xlpm.n&lt;4,_xlpm.s,IF(RIGHT(_xlpm.z,2)="IE",_xlpm.s&amp;", "&amp;_xlfn.TEXTBEFORE(_xlpm.z," ",-1),IF(UPPER(LEFT(_xlpm.c,3))="BOX",_xlpm.s,_xlpm.c&amp;", "&amp;_xlpm.s)))),"")</f>
        <v>DANBURY, CT</v>
      </c>
      <c r="G82" s="5" cm="1">
        <f t="array" aca="1" ref="G82" ca="1">_FV(D82,"price")</f>
        <v>17.18</v>
      </c>
      <c r="H82" s="6" cm="1">
        <f t="array" aca="1" ref="H82" ca="1">_FV(D82,"Shares outstanding",TRUE)/1000</f>
        <v>79954.2</v>
      </c>
      <c r="I82" s="7">
        <f t="shared" ca="1" si="1"/>
        <v>1373613.156</v>
      </c>
    </row>
    <row r="83" spans="2:9" x14ac:dyDescent="0.2">
      <c r="B83" s="1" t="s">
        <v>168</v>
      </c>
      <c r="C83" s="2" t="s">
        <v>169</v>
      </c>
      <c r="D83" s="4" t="e" vm="81">
        <v>#VALUE!</v>
      </c>
      <c r="E83" s="1" t="str" cm="1">
        <f t="array" aca="1" ref="E83" ca="1">_FV(D83,"Industry")</f>
        <v>Renewable Energy</v>
      </c>
      <c r="F83" t="str" cm="1">
        <f t="array" aca="1" ref="F83" ca="1">IFERROR(_xlfn.LET(_xlpm.h,_FV(D83,"Headquarters"),_xlpm.p,TRIM(_xlfn.TEXTSPLIT(_xlpm.h,",")),_xlpm.n,COLUMNS(_xlpm.p),_xlpm.z,INDEX(_xlpm.p,1,_xlpm.n),_xlpm.c,INDEX(_xlpm.p,1,_xlpm.n-2),_xlpm.s,INDEX(_xlpm.p,1,_xlpm.n-1),IF(_xlpm.n&lt;4,_xlpm.s,IF(RIGHT(_xlpm.z,2)="IE",_xlpm.s&amp;", "&amp;_xlfn.TEXTBEFORE(_xlpm.z," ",-1),IF(UPPER(LEFT(_xlpm.c,3))="BOX",_xlpm.s,_xlpm.c&amp;", "&amp;_xlpm.s)))),"")</f>
        <v>CICERO, IL</v>
      </c>
      <c r="G83" s="5" cm="1">
        <f t="array" aca="1" ref="G83" ca="1">_FV(D83,"price")</f>
        <v>4.32</v>
      </c>
      <c r="H83" s="6" cm="1">
        <f t="array" aca="1" ref="H83" ca="1">_FV(D83,"Shares outstanding",TRUE)/1000</f>
        <v>23657.37</v>
      </c>
      <c r="I83" s="7">
        <f t="shared" ca="1" si="1"/>
        <v>102199.83840000001</v>
      </c>
    </row>
    <row r="84" spans="2:9" x14ac:dyDescent="0.2">
      <c r="B84" s="1" t="s">
        <v>170</v>
      </c>
      <c r="C84" s="2" t="s">
        <v>171</v>
      </c>
      <c r="D84" s="4" t="e" vm="82">
        <v>#VALUE!</v>
      </c>
      <c r="E84" s="1" t="str" cm="1">
        <f t="array" aca="1" ref="E84" ca="1">_FV(D84,"Industry")</f>
        <v>Renewable Energy</v>
      </c>
      <c r="F84" t="str" cm="1">
        <f t="array" aca="1" ref="F84" ca="1">IFERROR(_xlfn.LET(_xlpm.h,_FV(D84,"Headquarters"),_xlpm.p,TRIM(_xlfn.TEXTSPLIT(_xlpm.h,",")),_xlpm.n,COLUMNS(_xlpm.p),_xlpm.z,INDEX(_xlpm.p,1,_xlpm.n),_xlpm.c,INDEX(_xlpm.p,1,_xlpm.n-2),_xlpm.s,INDEX(_xlpm.p,1,_xlpm.n-1),IF(_xlpm.n&lt;4,_xlpm.s,IF(RIGHT(_xlpm.z,2)="IE",_xlpm.s&amp;", "&amp;_xlfn.TEXTBEFORE(_xlpm.z," ",-1),IF(UPPER(LEFT(_xlpm.c,3))="BOX",_xlpm.s,_xlpm.c&amp;", "&amp;_xlpm.s)))),"")</f>
        <v>HOUSTON, TX</v>
      </c>
      <c r="G84" s="5" cm="1">
        <f t="array" aca="1" ref="G84" ca="1">_FV(D84,"price")</f>
        <v>3.82</v>
      </c>
      <c r="H84" s="6" cm="1">
        <f t="array" aca="1" ref="H84" ca="1">_FV(D84,"Shares outstanding",TRUE)/1000</f>
        <v>9626.74</v>
      </c>
      <c r="I84" s="7">
        <f t="shared" ca="1" si="1"/>
        <v>36774.146799999995</v>
      </c>
    </row>
    <row r="85" spans="2:9" x14ac:dyDescent="0.2">
      <c r="B85" s="1" t="s">
        <v>172</v>
      </c>
      <c r="C85" s="2" t="s">
        <v>173</v>
      </c>
      <c r="D85" s="4" t="e" vm="83">
        <v>#VALUE!</v>
      </c>
      <c r="E85" s="1" t="str" cm="1">
        <f t="array" aca="1" ref="E85" ca="1">_FV(D85,"Industry")</f>
        <v>Machinery, Equipment &amp; Components</v>
      </c>
      <c r="F85" t="str" cm="1">
        <f t="array" aca="1" ref="F85" ca="1">IFERROR(_xlfn.LET(_xlpm.h,_FV(D85,"Headquarters"),_xlpm.p,TRIM(_xlfn.TEXTSPLIT(_xlpm.h,",")),_xlpm.n,COLUMNS(_xlpm.p),_xlpm.z,INDEX(_xlpm.p,1,_xlpm.n),_xlpm.c,INDEX(_xlpm.p,1,_xlpm.n-2),_xlpm.s,INDEX(_xlpm.p,1,_xlpm.n-1),IF(_xlpm.n&lt;4,_xlpm.s,IF(RIGHT(_xlpm.z,2)="IE",_xlpm.s&amp;", "&amp;_xlfn.TEXTBEFORE(_xlpm.z," ",-1),IF(UPPER(LEFT(_xlpm.c,3))="BOX",_xlpm.s,_xlpm.c&amp;", "&amp;_xlpm.s)))),"")</f>
        <v>EDISON, NJ</v>
      </c>
      <c r="G85" s="5" cm="1">
        <f t="array" aca="1" ref="G85" ca="1">_FV(D85,"price")</f>
        <v>3.58</v>
      </c>
      <c r="H85" s="6" cm="1">
        <f t="array" aca="1" ref="H85" ca="1">_FV(D85,"Shares outstanding",TRUE)/1000</f>
        <v>364167.8</v>
      </c>
      <c r="I85" s="7">
        <f t="shared" ca="1" si="1"/>
        <v>1303720.7239999999</v>
      </c>
    </row>
    <row r="86" spans="2:9" x14ac:dyDescent="0.2">
      <c r="B86" s="1" t="s">
        <v>174</v>
      </c>
      <c r="C86" s="2" t="s">
        <v>175</v>
      </c>
      <c r="D86" s="4" t="e" vm="84">
        <v>#VALUE!</v>
      </c>
      <c r="E86" s="1" t="str" cm="1">
        <f t="array" aca="1" ref="E86" ca="1">_FV(D86,"Industry")</f>
        <v>Electrical Utilities &amp; IPPs</v>
      </c>
      <c r="F86" t="str" cm="1">
        <f t="array" aca="1" ref="F86" ca="1">IFERROR(_xlfn.LET(_xlpm.h,_FV(D86,"Headquarters"),_xlpm.p,TRIM(_xlfn.TEXTSPLIT(_xlpm.h,",")),_xlpm.n,COLUMNS(_xlpm.p),_xlpm.z,INDEX(_xlpm.p,1,_xlpm.n),_xlpm.c,INDEX(_xlpm.p,1,_xlpm.n-2),_xlpm.s,INDEX(_xlpm.p,1,_xlpm.n-1),IF(_xlpm.n&lt;4,_xlpm.s,IF(RIGHT(_xlpm.z,2)="IE",_xlpm.s&amp;", "&amp;_xlfn.TEXTBEFORE(_xlpm.z," ",-1),IF(UPPER(LEFT(_xlpm.c,3))="BOX",_xlpm.s,_xlpm.c&amp;", "&amp;_xlpm.s)))),"")</f>
        <v>DENVER, CO</v>
      </c>
      <c r="G86" s="5" cm="1">
        <f t="array" aca="1" ref="G86" ca="1">_FV(D86,"price")</f>
        <v>1.92</v>
      </c>
      <c r="H86" s="6" cm="1">
        <f t="array" aca="1" ref="H86" ca="1">_FV(D86,"Shares outstanding",TRUE)/1000</f>
        <v>19252.189999999999</v>
      </c>
      <c r="I86" s="7">
        <f t="shared" ca="1" si="1"/>
        <v>36964.2048</v>
      </c>
    </row>
    <row r="87" spans="2:9" x14ac:dyDescent="0.2">
      <c r="B87" s="1" t="s">
        <v>176</v>
      </c>
      <c r="C87" s="2" t="s">
        <v>177</v>
      </c>
      <c r="D87" s="4" t="e" vm="85">
        <v>#VALUE!</v>
      </c>
      <c r="E87" s="1" t="str" cm="1">
        <f t="array" aca="1" ref="E87" ca="1">_FV(D87,"Industry")</f>
        <v>Machinery, Equipment &amp; Components</v>
      </c>
      <c r="F87" t="str" cm="1">
        <f t="array" aca="1" ref="F87" ca="1">IFERROR(_xlfn.LET(_xlpm.h,_FV(D87,"Headquarters"),_xlpm.p,TRIM(_xlfn.TEXTSPLIT(_xlpm.h,",")),_xlpm.n,COLUMNS(_xlpm.p),_xlpm.z,INDEX(_xlpm.p,1,_xlpm.n),_xlpm.c,INDEX(_xlpm.p,1,_xlpm.n-2),_xlpm.s,INDEX(_xlpm.p,1,_xlpm.n-1),IF(_xlpm.n&lt;4,_xlpm.s,IF(RIGHT(_xlpm.z,2)="IE",_xlpm.s&amp;", "&amp;_xlfn.TEXTBEFORE(_xlpm.z," ",-1),IF(UPPER(LEFT(_xlpm.c,3))="BOX",_xlpm.s,_xlpm.c&amp;", "&amp;_xlpm.s)))),"")</f>
        <v>VAN NUYS, CA</v>
      </c>
      <c r="G87" s="5" cm="1">
        <f t="array" aca="1" ref="G87" ca="1">_FV(D87,"price")</f>
        <v>5.48</v>
      </c>
      <c r="H87" s="6" cm="1">
        <f t="array" aca="1" ref="H87" ca="1">_FV(D87,"Shares outstanding",TRUE)/1000</f>
        <v>32944.71</v>
      </c>
      <c r="I87" s="7">
        <f t="shared" ca="1" si="1"/>
        <v>180537.01080000002</v>
      </c>
    </row>
    <row r="88" spans="2:9" x14ac:dyDescent="0.2">
      <c r="B88" s="1" t="s">
        <v>178</v>
      </c>
      <c r="C88" s="2" t="s">
        <v>179</v>
      </c>
      <c r="D88" s="4" t="e" vm="86">
        <v>#VALUE!</v>
      </c>
      <c r="E88" s="1" t="str" cm="1">
        <f t="array" aca="1" ref="E88" ca="1">_FV(D88,"Industry")</f>
        <v>Semiconductors &amp; Semiconductor Equipment</v>
      </c>
      <c r="F88" t="str" cm="1">
        <f t="array" aca="1" ref="F88" ca="1">IFERROR(_xlfn.LET(_xlpm.h,_FV(D88,"Headquarters"),_xlpm.p,TRIM(_xlfn.TEXTSPLIT(_xlpm.h,",")),_xlpm.n,COLUMNS(_xlpm.p),_xlpm.z,INDEX(_xlpm.p,1,_xlpm.n),_xlpm.c,INDEX(_xlpm.p,1,_xlpm.n-2),_xlpm.s,INDEX(_xlpm.p,1,_xlpm.n-1),IF(_xlpm.n&lt;4,_xlpm.s,IF(RIGHT(_xlpm.z,2)="IE",_xlpm.s&amp;", "&amp;_xlfn.TEXTBEFORE(_xlpm.z," ",-1),IF(UPPER(LEFT(_xlpm.c,3))="BOX",_xlpm.s,_xlpm.c&amp;", "&amp;_xlpm.s)))),"")</f>
        <v>LOS GATOS, CA</v>
      </c>
      <c r="G88" s="5" cm="1">
        <f t="array" aca="1" ref="G88" ca="1">_FV(D88,"price")</f>
        <v>0.89</v>
      </c>
      <c r="H88" s="6" cm="1">
        <f t="array" aca="1" ref="H88" ca="1">_FV(D88,"Shares outstanding",TRUE)/1000</f>
        <v>76773.710000000006</v>
      </c>
      <c r="I88" s="7">
        <f t="shared" ca="1" si="1"/>
        <v>68328.601900000009</v>
      </c>
    </row>
    <row r="89" spans="2:9" x14ac:dyDescent="0.2">
      <c r="B89" s="1" t="s">
        <v>180</v>
      </c>
      <c r="C89" s="2" t="s">
        <v>181</v>
      </c>
      <c r="D89" s="4" t="e" vm="87">
        <v>#VALUE!</v>
      </c>
      <c r="E89" s="1" t="str" cm="1">
        <f t="array" aca="1" ref="E89" ca="1">_FV(D89,"Industry")</f>
        <v>Electrical Utilities &amp; IPPs</v>
      </c>
      <c r="F89" t="str" cm="1">
        <f t="array" aca="1" ref="F89" ca="1">IFERROR(_xlfn.LET(_xlpm.h,_FV(D89,"Headquarters"),_xlpm.p,TRIM(_xlfn.TEXTSPLIT(_xlpm.h,",")),_xlpm.n,COLUMNS(_xlpm.p),_xlpm.z,INDEX(_xlpm.p,1,_xlpm.n),_xlpm.c,INDEX(_xlpm.p,1,_xlpm.n-2),_xlpm.s,INDEX(_xlpm.p,1,_xlpm.n-1),IF(_xlpm.n&lt;4,_xlpm.s,IF(RIGHT(_xlpm.z,2)="IE",_xlpm.s&amp;", "&amp;_xlfn.TEXTBEFORE(_xlpm.z," ",-1),IF(UPPER(LEFT(_xlpm.c,3))="BOX",_xlpm.s,_xlpm.c&amp;", "&amp;_xlpm.s)))),"")</f>
        <v>BOWIE, MD</v>
      </c>
      <c r="G89" s="5" cm="1">
        <f t="array" aca="1" ref="G89" ca="1">_FV(D89,"price")</f>
        <v>0.56520000000000004</v>
      </c>
      <c r="H89" s="6" cm="1">
        <f t="array" aca="1" ref="H89" ca="1">_FV(D89,"Shares outstanding",TRUE)/1000</f>
        <v>144938.70000000001</v>
      </c>
      <c r="I89" s="7">
        <f t="shared" ca="1" si="1"/>
        <v>81919.353240000011</v>
      </c>
    </row>
    <row r="90" spans="2:9" x14ac:dyDescent="0.2">
      <c r="B90" s="1" t="s">
        <v>182</v>
      </c>
      <c r="C90" s="2" t="s">
        <v>183</v>
      </c>
      <c r="D90" s="4" t="e" vm="88">
        <v>#VALUE!</v>
      </c>
      <c r="E90" s="1" t="str" cm="1">
        <f t="array" aca="1" ref="E90" ca="1">_FV(D90,"Industry")</f>
        <v>Machinery, Equipment &amp; Components</v>
      </c>
      <c r="F90" t="str" cm="1">
        <f t="array" aca="1" ref="F90" ca="1">IFERROR(_xlfn.LET(_xlpm.h,_FV(D90,"Headquarters"),_xlpm.p,TRIM(_xlfn.TEXTSPLIT(_xlpm.h,",")),_xlpm.n,COLUMNS(_xlpm.p),_xlpm.z,INDEX(_xlpm.p,1,_xlpm.n),_xlpm.c,INDEX(_xlpm.p,1,_xlpm.n-2),_xlpm.s,INDEX(_xlpm.p,1,_xlpm.n-1),IF(_xlpm.n&lt;4,_xlpm.s,IF(RIGHT(_xlpm.z,2)="IE",_xlpm.s&amp;", "&amp;_xlfn.TEXTBEFORE(_xlpm.z," ",-1),IF(UPPER(LEFT(_xlpm.c,3))="BOX",_xlpm.s,_xlpm.c&amp;", "&amp;_xlpm.s)))),"")</f>
        <v>AUSTIN, TX</v>
      </c>
      <c r="G90" s="5" cm="1">
        <f t="array" aca="1" ref="G90" ca="1">_FV(D90,"price")</f>
        <v>2.54</v>
      </c>
      <c r="H90" s="6" cm="1">
        <f t="array" aca="1" ref="H90" ca="1">_FV(D90,"Shares outstanding",TRUE)/1000</f>
        <v>16515.900000000001</v>
      </c>
      <c r="I90" s="7">
        <f t="shared" ca="1" si="1"/>
        <v>41950.386000000006</v>
      </c>
    </row>
    <row r="91" spans="2:9" x14ac:dyDescent="0.2">
      <c r="B91" s="1" t="s">
        <v>184</v>
      </c>
      <c r="C91" s="2" t="s">
        <v>185</v>
      </c>
      <c r="D91" s="4" t="e" vm="89">
        <v>#VALUE!</v>
      </c>
      <c r="E91" s="1" t="str" cm="1">
        <f t="array" aca="1" ref="E91" ca="1">_FV(D91,"Industry")</f>
        <v>Renewable Energy</v>
      </c>
      <c r="F91" t="str" cm="1">
        <f t="array" aca="1" ref="F91" ca="1">IFERROR(_xlfn.LET(_xlpm.h,_FV(D91,"Headquarters"),_xlpm.p,TRIM(_xlfn.TEXTSPLIT(_xlpm.h,",")),_xlpm.n,COLUMNS(_xlpm.p),_xlpm.z,INDEX(_xlpm.p,1,_xlpm.n),_xlpm.c,INDEX(_xlpm.p,1,_xlpm.n-2),_xlpm.s,INDEX(_xlpm.p,1,_xlpm.n-1),IF(_xlpm.n&lt;4,_xlpm.s,IF(RIGHT(_xlpm.z,2)="IE",_xlpm.s&amp;", "&amp;_xlfn.TEXTBEFORE(_xlpm.z," ",-1),IF(UPPER(LEFT(_xlpm.c,3))="BOX",_xlpm.s,_xlpm.c&amp;", "&amp;_xlpm.s)))),"")</f>
        <v>BURNABY, BC</v>
      </c>
      <c r="G91" s="5" cm="1">
        <f t="array" aca="1" ref="G91" ca="1">_FV(D91,"price")</f>
        <v>2.19</v>
      </c>
      <c r="H91" s="6" cm="1">
        <f t="array" aca="1" ref="H91" ca="1">_FV(D91,"Shares outstanding",TRUE)/1000</f>
        <v>351090.7</v>
      </c>
      <c r="I91" s="7">
        <f t="shared" ca="1" si="1"/>
        <v>768888.63300000003</v>
      </c>
    </row>
    <row r="92" spans="2:9" x14ac:dyDescent="0.2">
      <c r="B92" s="1" t="s">
        <v>186</v>
      </c>
      <c r="C92" s="2" t="s">
        <v>187</v>
      </c>
      <c r="D92" s="4" t="e" vm="90">
        <v>#VALUE!</v>
      </c>
      <c r="E92" s="1" t="str" cm="1">
        <f t="array" aca="1" ref="E92" ca="1">_FV(D92,"Industry")</f>
        <v>Machinery, Equipment &amp; Components</v>
      </c>
      <c r="F92" t="str" cm="1">
        <f t="array" aca="1" ref="F92" ca="1">IFERROR(_xlfn.LET(_xlpm.h,_FV(D92,"Headquarters"),_xlpm.p,TRIM(_xlfn.TEXTSPLIT(_xlpm.h,",")),_xlpm.n,COLUMNS(_xlpm.p),_xlpm.z,INDEX(_xlpm.p,1,_xlpm.n),_xlpm.c,INDEX(_xlpm.p,1,_xlpm.n-2),_xlpm.s,INDEX(_xlpm.p,1,_xlpm.n-1),IF(_xlpm.n&lt;4,_xlpm.s,IF(RIGHT(_xlpm.z,2)="IE",_xlpm.s&amp;", "&amp;_xlfn.TEXTBEFORE(_xlpm.z," ",-1),IF(UPPER(LEFT(_xlpm.c,3))="BOX",_xlpm.s,_xlpm.c&amp;", "&amp;_xlpm.s)))),"")</f>
        <v>ROCKVILLE, MD</v>
      </c>
      <c r="G92" s="5" cm="1">
        <f t="array" aca="1" ref="G92" ca="1">_FV(D92,"price")</f>
        <v>16.38</v>
      </c>
      <c r="H92" s="6" cm="1">
        <f t="array" aca="1" ref="H92" ca="1">_FV(D92,"Shares outstanding",TRUE)/1000</f>
        <v>406366.1</v>
      </c>
      <c r="I92" s="7">
        <f t="shared" ca="1" si="1"/>
        <v>6656276.7179999994</v>
      </c>
    </row>
    <row r="93" spans="2:9" x14ac:dyDescent="0.2">
      <c r="B93" s="1" t="s">
        <v>188</v>
      </c>
      <c r="C93" s="2" t="s">
        <v>189</v>
      </c>
      <c r="D93" s="4" t="e" vm="91">
        <v>#VALUE!</v>
      </c>
      <c r="E93" s="1" t="str" cm="1">
        <f t="array" aca="1" ref="E93" ca="1">_FV(D93,"Industry")</f>
        <v>Machinery, Equipment &amp; Components</v>
      </c>
      <c r="F93" t="str" cm="1">
        <f t="array" aca="1" ref="F93" ca="1">IFERROR(_xlfn.LET(_xlpm.h,_FV(D93,"Headquarters"),_xlpm.p,TRIM(_xlfn.TEXTSPLIT(_xlpm.h,",")),_xlpm.n,COLUMNS(_xlpm.p),_xlpm.z,INDEX(_xlpm.p,1,_xlpm.n),_xlpm.c,INDEX(_xlpm.p,1,_xlpm.n-2),_xlpm.s,INDEX(_xlpm.p,1,_xlpm.n-1),IF(_xlpm.n&lt;4,_xlpm.s,IF(RIGHT(_xlpm.z,2)="IE",_xlpm.s&amp;", "&amp;_xlfn.TEXTBEFORE(_xlpm.z," ",-1),IF(UPPER(LEFT(_xlpm.c,3))="BOX",_xlpm.s,_xlpm.c&amp;", "&amp;_xlpm.s)))),"")</f>
        <v>POMPANO BEACH, FL</v>
      </c>
      <c r="G93" s="5" cm="1">
        <f t="array" aca="1" ref="G93" ca="1">_FV(D93,"price")</f>
        <v>1.24</v>
      </c>
      <c r="H93" s="6" cm="1">
        <f t="array" aca="1" ref="H93" ca="1">_FV(D93,"Shares outstanding",TRUE)/1000</f>
        <v>135431</v>
      </c>
      <c r="I93" s="7">
        <f t="shared" ca="1" si="1"/>
        <v>167934.44</v>
      </c>
    </row>
    <row r="94" spans="2:9" x14ac:dyDescent="0.2">
      <c r="B94" s="1" t="s">
        <v>190</v>
      </c>
      <c r="C94" s="2" t="s">
        <v>191</v>
      </c>
      <c r="D94" s="4" t="e" vm="92">
        <v>#VALUE!</v>
      </c>
      <c r="E94" s="1" t="str" cm="1">
        <f t="array" aca="1" ref="E94" ca="1">_FV(D94,"Industry")</f>
        <v>Electrical Utilities &amp; IPPs</v>
      </c>
      <c r="F94" t="str" cm="1">
        <f t="array" aca="1" ref="F94" ca="1">IFERROR(_xlfn.LET(_xlpm.h,_FV(D94,"Headquarters"),_xlpm.p,TRIM(_xlfn.TEXTSPLIT(_xlpm.h,",")),_xlpm.n,COLUMNS(_xlpm.p),_xlpm.z,INDEX(_xlpm.p,1,_xlpm.n),_xlpm.c,INDEX(_xlpm.p,1,_xlpm.n-2),_xlpm.s,INDEX(_xlpm.p,1,_xlpm.n-1),IF(_xlpm.n&lt;4,_xlpm.s,IF(RIGHT(_xlpm.z,2)="IE",_xlpm.s&amp;", "&amp;_xlfn.TEXTBEFORE(_xlpm.z," ",-1),IF(UPPER(LEFT(_xlpm.c,3))="BOX",_xlpm.s,_xlpm.c&amp;", "&amp;_xlpm.s)))),"")</f>
        <v>RIVERSIDE, CA</v>
      </c>
      <c r="G94" s="5" cm="1">
        <f t="array" aca="1" ref="G94" ca="1">_FV(D94,"price")</f>
        <v>2.44</v>
      </c>
      <c r="H94" s="6" cm="1">
        <f t="array" aca="1" ref="H94" ca="1">_FV(D94,"Shares outstanding",TRUE)/1000</f>
        <v>4742.21</v>
      </c>
      <c r="I94" s="7">
        <f t="shared" ca="1" si="1"/>
        <v>11570.992399999999</v>
      </c>
    </row>
    <row r="95" spans="2:9" x14ac:dyDescent="0.2">
      <c r="B95" s="1" t="s">
        <v>192</v>
      </c>
      <c r="C95" s="2" t="s">
        <v>193</v>
      </c>
      <c r="D95" s="4" t="e" vm="93">
        <v>#VALUE!</v>
      </c>
      <c r="E95" s="1" t="str" cm="1">
        <f t="array" aca="1" ref="E95" ca="1">_FV(D95,"Industry")</f>
        <v>Homebuilding &amp; Construction Supplies</v>
      </c>
      <c r="F95" t="str" cm="1">
        <f t="array" aca="1" ref="F95" ca="1">IFERROR(_xlfn.LET(_xlpm.h,_FV(D95,"Headquarters"),_xlpm.p,TRIM(_xlfn.TEXTSPLIT(_xlpm.h,",")),_xlpm.n,COLUMNS(_xlpm.p),_xlpm.z,INDEX(_xlpm.p,1,_xlpm.n),_xlpm.c,INDEX(_xlpm.p,1,_xlpm.n-2),_xlpm.s,INDEX(_xlpm.p,1,_xlpm.n-1),IF(_xlpm.n&lt;4,_xlpm.s,IF(RIGHT(_xlpm.z,2)="IE",_xlpm.s&amp;", "&amp;_xlfn.TEXTBEFORE(_xlpm.z," ",-1),IF(UPPER(LEFT(_xlpm.c,3))="BOX",_xlpm.s,_xlpm.c&amp;", "&amp;_xlpm.s)))),"")</f>
        <v>MANITOWOC, WI</v>
      </c>
      <c r="G95" s="5" cm="1">
        <f t="array" aca="1" ref="G95" ca="1">_FV(D95,"price")</f>
        <v>28.42</v>
      </c>
      <c r="H95" s="6" cm="1">
        <f t="array" aca="1" ref="H95" ca="1">_FV(D95,"Shares outstanding",TRUE)/1000</f>
        <v>4089.29</v>
      </c>
      <c r="I95" s="7">
        <f t="shared" ca="1" si="1"/>
        <v>116217.62180000001</v>
      </c>
    </row>
    <row r="96" spans="2:9" x14ac:dyDescent="0.2">
      <c r="B96" s="1" t="s">
        <v>194</v>
      </c>
      <c r="C96" s="2" t="s">
        <v>195</v>
      </c>
      <c r="D96" s="4" t="e" vm="94">
        <v>#VALUE!</v>
      </c>
      <c r="E96" s="1" t="str" cm="1">
        <f t="array" aca="1" ref="E96" ca="1">_FV(D96,"Industry")</f>
        <v>Renewable Energy</v>
      </c>
      <c r="F96" t="str" cm="1">
        <f t="array" aca="1" ref="F96" ca="1">IFERROR(_xlfn.LET(_xlpm.h,_FV(D96,"Headquarters"),_xlpm.p,TRIM(_xlfn.TEXTSPLIT(_xlpm.h,",")),_xlpm.n,COLUMNS(_xlpm.p),_xlpm.z,INDEX(_xlpm.p,1,_xlpm.n),_xlpm.c,INDEX(_xlpm.p,1,_xlpm.n-2),_xlpm.s,INDEX(_xlpm.p,1,_xlpm.n-1),IF(_xlpm.n&lt;4,_xlpm.s,IF(RIGHT(_xlpm.z,2)="IE",_xlpm.s&amp;", "&amp;_xlfn.TEXTBEFORE(_xlpm.z," ",-1),IF(UPPER(LEFT(_xlpm.c,3))="BOX",_xlpm.s,_xlpm.c&amp;", "&amp;_xlpm.s)))),"")</f>
        <v>WY</v>
      </c>
      <c r="G96" s="5" cm="1">
        <f t="array" aca="1" ref="G96" ca="1">_FV(D96,"price")</f>
        <v>9.9999999999999995E-7</v>
      </c>
      <c r="H96" s="6" cm="1">
        <f t="array" aca="1" ref="H96" ca="1">_FV(D96,"Shares outstanding",TRUE)/1000</f>
        <v>10975460</v>
      </c>
      <c r="I96" s="7">
        <f t="shared" ca="1" si="1"/>
        <v>10.97546</v>
      </c>
    </row>
    <row r="97" spans="2:9" x14ac:dyDescent="0.2">
      <c r="B97" s="1" t="s">
        <v>196</v>
      </c>
      <c r="C97" s="2" t="s">
        <v>197</v>
      </c>
      <c r="D97" s="4" t="e" vm="95">
        <v>#VALUE!</v>
      </c>
      <c r="E97" s="1" t="str" cm="1">
        <f t="array" aca="1" ref="E97" ca="1">_FV(D97,"Industry")</f>
        <v>Electrical Utilities &amp; IPPs</v>
      </c>
      <c r="F97" t="str" cm="1">
        <f t="array" aca="1" ref="F97" ca="1">IFERROR(_xlfn.LET(_xlpm.h,_FV(D97,"Headquarters"),_xlpm.p,TRIM(_xlfn.TEXTSPLIT(_xlpm.h,",")),_xlpm.n,COLUMNS(_xlpm.p),_xlpm.z,INDEX(_xlpm.p,1,_xlpm.n),_xlpm.c,INDEX(_xlpm.p,1,_xlpm.n-2),_xlpm.s,INDEX(_xlpm.p,1,_xlpm.n-1),IF(_xlpm.n&lt;4,_xlpm.s,IF(RIGHT(_xlpm.z,2)="IE",_xlpm.s&amp;", "&amp;_xlfn.TEXTBEFORE(_xlpm.z," ",-1),IF(UPPER(LEFT(_xlpm.c,3))="BOX",_xlpm.s,_xlpm.c&amp;", "&amp;_xlpm.s)))),"")</f>
        <v>TORONTO, ON</v>
      </c>
      <c r="G97" s="5" cm="1">
        <f t="array" aca="1" ref="G97" ca="1">_FV(D97,"price")</f>
        <v>13.91</v>
      </c>
      <c r="H97" s="6" cm="1">
        <f t="array" aca="1" ref="H97" ca="1">_FV(D97,"Shares outstanding",TRUE)/1000</f>
        <v>20895.29</v>
      </c>
      <c r="I97" s="7">
        <f t="shared" ca="1" si="1"/>
        <v>290653.48389999999</v>
      </c>
    </row>
    <row r="98" spans="2:9" x14ac:dyDescent="0.2">
      <c r="B98" s="1" t="s">
        <v>198</v>
      </c>
      <c r="C98" s="2" t="s">
        <v>199</v>
      </c>
      <c r="D98" s="4" t="e" vm="96">
        <v>#VALUE!</v>
      </c>
      <c r="E98" s="1" t="str" cm="1">
        <f t="array" aca="1" ref="E98" ca="1">_FV(D98,"Industry")</f>
        <v>Machinery, Equipment &amp; Components</v>
      </c>
      <c r="F98" t="str" cm="1">
        <f t="array" aca="1" ref="F98" ca="1">IFERROR(_xlfn.LET(_xlpm.h,_FV(D98,"Headquarters"),_xlpm.p,TRIM(_xlfn.TEXTSPLIT(_xlpm.h,",")),_xlpm.n,COLUMNS(_xlpm.p),_xlpm.z,INDEX(_xlpm.p,1,_xlpm.n),_xlpm.c,INDEX(_xlpm.p,1,_xlpm.n-2),_xlpm.s,INDEX(_xlpm.p,1,_xlpm.n-1),IF(_xlpm.n&lt;4,_xlpm.s,IF(RIGHT(_xlpm.z,2)="IE",_xlpm.s&amp;", "&amp;_xlfn.TEXTBEFORE(_xlpm.z," ",-1),IF(UPPER(LEFT(_xlpm.c,3))="BOX",_xlpm.s,_xlpm.c&amp;", "&amp;_xlpm.s)))),"")</f>
        <v>FREMONT, CA</v>
      </c>
      <c r="G98" s="5" cm="1">
        <f t="array" aca="1" ref="G98" ca="1">_FV(D98,"price")</f>
        <v>9.73</v>
      </c>
      <c r="H98" s="6" cm="1">
        <f t="array" aca="1" ref="H98" ca="1">_FV(D98,"Shares outstanding",TRUE)/1000</f>
        <v>146080.6</v>
      </c>
      <c r="I98" s="7">
        <f t="shared" ca="1" si="1"/>
        <v>1421364.2380000001</v>
      </c>
    </row>
    <row r="99" spans="2:9" x14ac:dyDescent="0.2">
      <c r="B99" s="1" t="s">
        <v>200</v>
      </c>
      <c r="C99" s="2" t="s">
        <v>201</v>
      </c>
      <c r="D99" s="4" t="e" vm="97">
        <v>#VALUE!</v>
      </c>
      <c r="E99" s="1" t="str" cm="1">
        <f t="array" aca="1" ref="E99" ca="1">_FV(D99,"Industry")</f>
        <v>Electrical Utilities &amp; IPPs</v>
      </c>
      <c r="F99" t="str" cm="1">
        <f t="array" aca="1" ref="F99" ca="1">IFERROR(_xlfn.LET(_xlpm.h,_FV(D99,"Headquarters"),_xlpm.p,TRIM(_xlfn.TEXTSPLIT(_xlpm.h,",")),_xlpm.n,COLUMNS(_xlpm.p),_xlpm.z,INDEX(_xlpm.p,1,_xlpm.n),_xlpm.c,INDEX(_xlpm.p,1,_xlpm.n-2),_xlpm.s,INDEX(_xlpm.p,1,_xlpm.n-1),IF(_xlpm.n&lt;4,_xlpm.s,IF(RIGHT(_xlpm.z,2)="IE",_xlpm.s&amp;", "&amp;_xlfn.TEXTBEFORE(_xlpm.z," ",-1),IF(UPPER(LEFT(_xlpm.c,3))="BOX",_xlpm.s,_xlpm.c&amp;", "&amp;_xlpm.s)))),"")</f>
        <v>RONKONKOMA, NY</v>
      </c>
      <c r="G99" s="5" cm="1">
        <f t="array" aca="1" ref="G99" ca="1">_FV(D99,"price")</f>
        <v>2.57</v>
      </c>
      <c r="H99" s="6" cm="1">
        <f t="array" aca="1" ref="H99" ca="1">_FV(D99,"Shares outstanding",TRUE)/1000</f>
        <v>6513.11</v>
      </c>
      <c r="I99" s="7">
        <f t="shared" ca="1" si="1"/>
        <v>16738.6927</v>
      </c>
    </row>
    <row r="100" spans="2:9" x14ac:dyDescent="0.2">
      <c r="B100" s="1" t="s">
        <v>202</v>
      </c>
      <c r="C100" s="2" t="s">
        <v>203</v>
      </c>
      <c r="D100" s="4" t="e" vm="98">
        <v>#VALUE!</v>
      </c>
      <c r="E100" s="1" t="str" cm="1">
        <f t="array" aca="1" ref="E100" ca="1">_FV(D100,"Industry")</f>
        <v>Renewable Energy</v>
      </c>
      <c r="F100" t="str" cm="1">
        <f t="array" aca="1" ref="F100" ca="1">IFERROR(_xlfn.LET(_xlpm.h,_FV(D100,"Headquarters"),_xlpm.p,TRIM(_xlfn.TEXTSPLIT(_xlpm.h,",")),_xlpm.n,COLUMNS(_xlpm.p),_xlpm.z,INDEX(_xlpm.p,1,_xlpm.n),_xlpm.c,INDEX(_xlpm.p,1,_xlpm.n-2),_xlpm.s,INDEX(_xlpm.p,1,_xlpm.n-1),IF(_xlpm.n&lt;4,_xlpm.s,IF(RIGHT(_xlpm.z,2)="IE",_xlpm.s&amp;", "&amp;_xlfn.TEXTBEFORE(_xlpm.z," ",-1),IF(UPPER(LEFT(_xlpm.c,3))="BOX",_xlpm.s,_xlpm.c&amp;", "&amp;_xlpm.s)))),"")</f>
        <v>DALLAS, TX</v>
      </c>
      <c r="G100" s="5" cm="1">
        <f t="array" aca="1" ref="G100" ca="1">_FV(D100,"price")</f>
        <v>0.3967</v>
      </c>
      <c r="H100" s="6" cm="1">
        <f t="array" aca="1" ref="H100" ca="1">_FV(D100,"Shares outstanding",TRUE)/1000</f>
        <v>58783.49</v>
      </c>
      <c r="I100" s="7">
        <f t="shared" ca="1" si="1"/>
        <v>23319.410483</v>
      </c>
    </row>
    <row r="101" spans="2:9" x14ac:dyDescent="0.2">
      <c r="B101" s="1" t="s">
        <v>204</v>
      </c>
      <c r="C101" s="2" t="s">
        <v>205</v>
      </c>
      <c r="D101" s="4" t="e" vm="99">
        <v>#VALUE!</v>
      </c>
      <c r="E101" s="1" t="str" cm="1">
        <f t="array" aca="1" ref="E101" ca="1">_FV(D101,"Industry")</f>
        <v>Electrical Utilities &amp; IPPs</v>
      </c>
      <c r="F101" t="str" cm="1">
        <f t="array" aca="1" ref="F101" ca="1">IFERROR(_xlfn.LET(_xlpm.h,_FV(D101,"Headquarters"),_xlpm.p,TRIM(_xlfn.TEXTSPLIT(_xlpm.h,",")),_xlpm.n,COLUMNS(_xlpm.p),_xlpm.z,INDEX(_xlpm.p,1,_xlpm.n),_xlpm.c,INDEX(_xlpm.p,1,_xlpm.n-2),_xlpm.s,INDEX(_xlpm.p,1,_xlpm.n-1),IF(_xlpm.n&lt;4,_xlpm.s,IF(RIGHT(_xlpm.z,2)="IE",_xlpm.s&amp;", "&amp;_xlfn.TEXTBEFORE(_xlpm.z," ",-1),IF(UPPER(LEFT(_xlpm.c,3))="BOX",_xlpm.s,_xlpm.c&amp;", "&amp;_xlpm.s)))),"")</f>
        <v>KETCHIKAN, AK</v>
      </c>
      <c r="G101" s="5" cm="1">
        <f t="array" aca="1" ref="G101" ca="1">_FV(D101,"price")</f>
        <v>84</v>
      </c>
      <c r="H101" s="6" cm="1">
        <f t="array" aca="1" ref="H101" ca="1">_FV(D101,"Shares outstanding",TRUE)/1000</f>
        <v>929.22</v>
      </c>
      <c r="I101" s="7">
        <f t="shared" ca="1" si="1"/>
        <v>78054.48</v>
      </c>
    </row>
    <row r="102" spans="2:9" x14ac:dyDescent="0.2">
      <c r="B102" s="1" t="s">
        <v>206</v>
      </c>
      <c r="C102" s="2" t="s">
        <v>207</v>
      </c>
      <c r="D102" s="4" t="e" vm="100">
        <v>#VALUE!</v>
      </c>
      <c r="E102" s="1" t="str" cm="1">
        <f t="array" aca="1" ref="E102" ca="1">_FV(D102,"Industry")</f>
        <v>Machinery, Equipment &amp; Components</v>
      </c>
      <c r="F102" t="str" cm="1">
        <f t="array" aca="1" ref="F102" ca="1">IFERROR(_xlfn.LET(_xlpm.h,_FV(D102,"Headquarters"),_xlpm.p,TRIM(_xlfn.TEXTSPLIT(_xlpm.h,",")),_xlpm.n,COLUMNS(_xlpm.p),_xlpm.z,INDEX(_xlpm.p,1,_xlpm.n),_xlpm.c,INDEX(_xlpm.p,1,_xlpm.n-2),_xlpm.s,INDEX(_xlpm.p,1,_xlpm.n-1),IF(_xlpm.n&lt;4,_xlpm.s,IF(RIGHT(_xlpm.z,2)="IE",_xlpm.s&amp;", "&amp;_xlfn.TEXTBEFORE(_xlpm.z," ",-1),IF(UPPER(LEFT(_xlpm.c,3))="BOX",_xlpm.s,_xlpm.c&amp;", "&amp;_xlpm.s)))),"")</f>
        <v>MISSISSAUGA, ON</v>
      </c>
      <c r="G102" s="5" cm="1">
        <f t="array" aca="1" ref="G102" ca="1">_FV(D102,"price")</f>
        <v>6.45</v>
      </c>
      <c r="H102" s="6" cm="1">
        <f t="array" aca="1" ref="H102" ca="1">_FV(D102,"Shares outstanding",TRUE)/1000</f>
        <v>49507.48</v>
      </c>
      <c r="I102" s="7">
        <f t="shared" ca="1" si="1"/>
        <v>319323.24600000004</v>
      </c>
    </row>
    <row r="103" spans="2:9" x14ac:dyDescent="0.2">
      <c r="B103" s="1" t="s">
        <v>208</v>
      </c>
      <c r="C103" s="2" t="s">
        <v>209</v>
      </c>
      <c r="D103" s="4" t="e" vm="101">
        <v>#VALUE!</v>
      </c>
      <c r="E103" s="1" t="str" cm="1">
        <f t="array" aca="1" ref="E103" ca="1">_FV(D103,"Industry")</f>
        <v>Electrical Utilities &amp; IPPs</v>
      </c>
      <c r="F103" t="str" cm="1">
        <f t="array" aca="1" ref="F103" ca="1">IFERROR(_xlfn.LET(_xlpm.h,_FV(D103,"Headquarters"),_xlpm.p,TRIM(_xlfn.TEXTSPLIT(_xlpm.h,",")),_xlpm.n,COLUMNS(_xlpm.p),_xlpm.z,INDEX(_xlpm.p,1,_xlpm.n),_xlpm.c,INDEX(_xlpm.p,1,_xlpm.n-2),_xlpm.s,INDEX(_xlpm.p,1,_xlpm.n-1),IF(_xlpm.n&lt;4,_xlpm.s,IF(RIGHT(_xlpm.z,2)="IE",_xlpm.s&amp;", "&amp;_xlfn.TEXTBEFORE(_xlpm.z," ",-1),IF(UPPER(LEFT(_xlpm.c,3))="BOX",_xlpm.s,_xlpm.c&amp;", "&amp;_xlpm.s)))),"")</f>
        <v>AB</v>
      </c>
      <c r="G103" s="5" cm="1">
        <f t="array" aca="1" ref="G103" ca="1">_FV(D103,"price")</f>
        <v>4.18</v>
      </c>
      <c r="H103" s="6" cm="1">
        <f t="array" aca="1" ref="H103" ca="1">_FV(D103,"Shares outstanding",TRUE)/1000</f>
        <v>63462.55</v>
      </c>
      <c r="I103" s="7">
        <f t="shared" ca="1" si="1"/>
        <v>265273.45899999997</v>
      </c>
    </row>
    <row r="104" spans="2:9" x14ac:dyDescent="0.2">
      <c r="B104" s="1" t="s">
        <v>210</v>
      </c>
      <c r="C104" s="2" t="s">
        <v>211</v>
      </c>
      <c r="D104" s="4" t="e" vm="102">
        <v>#VALUE!</v>
      </c>
      <c r="E104" s="1" t="str" cm="1">
        <f t="array" aca="1" ref="E104" ca="1">_FV(D104,"Industry")</f>
        <v>Machinery, Equipment &amp; Components</v>
      </c>
      <c r="F104" t="str" cm="1">
        <f t="array" aca="1" ref="F104" ca="1">IFERROR(_xlfn.LET(_xlpm.h,_FV(D104,"Headquarters"),_xlpm.p,TRIM(_xlfn.TEXTSPLIT(_xlpm.h,",")),_xlpm.n,COLUMNS(_xlpm.p),_xlpm.z,INDEX(_xlpm.p,1,_xlpm.n),_xlpm.c,INDEX(_xlpm.p,1,_xlpm.n-2),_xlpm.s,INDEX(_xlpm.p,1,_xlpm.n-1),IF(_xlpm.n&lt;4,_xlpm.s,IF(RIGHT(_xlpm.z,2)="IE",_xlpm.s&amp;", "&amp;_xlfn.TEXTBEFORE(_xlpm.z," ",-1),IF(UPPER(LEFT(_xlpm.c,3))="BOX",_xlpm.s,_xlpm.c&amp;", "&amp;_xlpm.s)))),"")</f>
        <v>RENO, NV</v>
      </c>
      <c r="G104" s="5" cm="1">
        <f t="array" aca="1" ref="G104" ca="1">_FV(D104,"price")</f>
        <v>0.88749999999999996</v>
      </c>
      <c r="H104" s="6" cm="1">
        <f t="array" aca="1" ref="H104" ca="1">_FV(D104,"Shares outstanding",TRUE)/1000</f>
        <v>14978.8</v>
      </c>
      <c r="I104" s="7">
        <f t="shared" ca="1" si="1"/>
        <v>13293.684999999999</v>
      </c>
    </row>
    <row r="105" spans="2:9" x14ac:dyDescent="0.2">
      <c r="B105" s="1" t="s">
        <v>212</v>
      </c>
      <c r="C105" s="2" t="s">
        <v>213</v>
      </c>
      <c r="D105" s="4" t="e" vm="103">
        <v>#VALUE!</v>
      </c>
      <c r="E105" s="1" t="str" cm="1">
        <f t="array" aca="1" ref="E105" ca="1">_FV(D105,"Industry")</f>
        <v>Homebuilding &amp; Construction Supplies</v>
      </c>
      <c r="F105" t="str" cm="1">
        <f t="array" aca="1" ref="F105" ca="1">IFERROR(_xlfn.LET(_xlpm.h,_FV(D105,"Headquarters"),_xlpm.p,TRIM(_xlfn.TEXTSPLIT(_xlpm.h,",")),_xlpm.n,COLUMNS(_xlpm.p),_xlpm.z,INDEX(_xlpm.p,1,_xlpm.n),_xlpm.c,INDEX(_xlpm.p,1,_xlpm.n-2),_xlpm.s,INDEX(_xlpm.p,1,_xlpm.n-1),IF(_xlpm.n&lt;4,_xlpm.s,IF(RIGHT(_xlpm.z,2)="IE",_xlpm.s&amp;", "&amp;_xlfn.TEXTBEFORE(_xlpm.z," ",-1),IF(UPPER(LEFT(_xlpm.c,3))="BOX",_xlpm.s,_xlpm.c&amp;", "&amp;_xlpm.s)))),"")</f>
        <v>RI</v>
      </c>
      <c r="G105" s="5" cm="1">
        <f t="array" aca="1" ref="G105" ca="1">_FV(D105,"price")</f>
        <v>1E-4</v>
      </c>
      <c r="H105" s="6" cm="1">
        <f t="array" aca="1" ref="H105" ca="1">_FV(D105,"Shares outstanding",TRUE)/1000</f>
        <v>217787</v>
      </c>
      <c r="I105" s="7">
        <f t="shared" ca="1" si="1"/>
        <v>21.778700000000001</v>
      </c>
    </row>
    <row r="106" spans="2:9" x14ac:dyDescent="0.2">
      <c r="B106" s="1" t="s">
        <v>214</v>
      </c>
      <c r="C106" s="2" t="s">
        <v>215</v>
      </c>
      <c r="D106" s="4" t="e" vm="104">
        <v>#VALUE!</v>
      </c>
      <c r="E106" s="1" t="str" cm="1">
        <f t="array" aca="1" ref="E106" ca="1">_FV(D106,"Industry")</f>
        <v>Aerospace &amp; Defense</v>
      </c>
      <c r="F106" t="str" cm="1">
        <f t="array" aca="1" ref="F106" ca="1">IFERROR(_xlfn.LET(_xlpm.h,_FV(D106,"Headquarters"),_xlpm.p,TRIM(_xlfn.TEXTSPLIT(_xlpm.h,",")),_xlpm.n,COLUMNS(_xlpm.p),_xlpm.z,INDEX(_xlpm.p,1,_xlpm.n),_xlpm.c,INDEX(_xlpm.p,1,_xlpm.n-2),_xlpm.s,INDEX(_xlpm.p,1,_xlpm.n-1),IF(_xlpm.n&lt;4,_xlpm.s,IF(RIGHT(_xlpm.z,2)="IE",_xlpm.s&amp;", "&amp;_xlfn.TEXTBEFORE(_xlpm.z," ",-1),IF(UPPER(LEFT(_xlpm.c,3))="BOX",_xlpm.s,_xlpm.c&amp;", "&amp;_xlpm.s)))),"")</f>
        <v>Research Triangle Park, NC</v>
      </c>
      <c r="G106" s="5" cm="1">
        <f t="array" aca="1" ref="G106" ca="1">_FV(D106,"price")</f>
        <v>8.9999999999999998E-4</v>
      </c>
      <c r="H106" s="6" cm="1">
        <f t="array" aca="1" ref="H106" ca="1">_FV(D106,"Shares outstanding",TRUE)/1000</f>
        <v>7435943</v>
      </c>
      <c r="I106" s="7">
        <f t="shared" ca="1" si="1"/>
        <v>6692.3486999999996</v>
      </c>
    </row>
    <row r="107" spans="2:9" x14ac:dyDescent="0.2">
      <c r="B107" s="1" t="s">
        <v>216</v>
      </c>
      <c r="C107" s="2" t="s">
        <v>217</v>
      </c>
      <c r="D107" s="4" t="e" vm="105">
        <v>#VALUE!</v>
      </c>
      <c r="E107" s="1" t="str" cm="1">
        <f t="array" aca="1" ref="E107" ca="1">_FV(D107,"Industry")</f>
        <v>Machinery, Equipment &amp; Components</v>
      </c>
      <c r="F107" t="str" cm="1">
        <f t="array" aca="1" ref="F107" ca="1">IFERROR(_xlfn.LET(_xlpm.h,_FV(D107,"Headquarters"),_xlpm.p,TRIM(_xlfn.TEXTSPLIT(_xlpm.h,",")),_xlpm.n,COLUMNS(_xlpm.p),_xlpm.z,INDEX(_xlpm.p,1,_xlpm.n),_xlpm.c,INDEX(_xlpm.p,1,_xlpm.n-2),_xlpm.s,INDEX(_xlpm.p,1,_xlpm.n-1),IF(_xlpm.n&lt;4,_xlpm.s,IF(RIGHT(_xlpm.z,2)="IE",_xlpm.s&amp;", "&amp;_xlfn.TEXTBEFORE(_xlpm.z," ",-1),IF(UPPER(LEFT(_xlpm.c,3))="BOX",_xlpm.s,_xlpm.c&amp;", "&amp;_xlpm.s)))),"")</f>
        <v>SARATOGA SPRINGS, NY</v>
      </c>
      <c r="G107" s="5" cm="1">
        <f t="array" aca="1" ref="G107" ca="1">_FV(D107,"price")</f>
        <v>62.84</v>
      </c>
      <c r="H107" s="6" cm="1">
        <f t="array" aca="1" ref="H107" ca="1">_FV(D107,"Shares outstanding",TRUE)/1000</f>
        <v>2995.92</v>
      </c>
      <c r="I107" s="7">
        <f t="shared" ca="1" si="1"/>
        <v>188263.6128</v>
      </c>
    </row>
    <row r="108" spans="2:9" x14ac:dyDescent="0.2">
      <c r="B108" s="1" t="s">
        <v>218</v>
      </c>
      <c r="C108" s="2" t="s">
        <v>219</v>
      </c>
      <c r="D108" s="4" t="e" vm="106">
        <v>#VALUE!</v>
      </c>
      <c r="E108" s="1" t="str" cm="1">
        <f t="array" aca="1" ref="E108" ca="1">_FV(D108,"Industry")</f>
        <v>Machinery, Equipment &amp; Components</v>
      </c>
      <c r="F108" t="str" cm="1">
        <f t="array" aca="1" ref="F108" ca="1">IFERROR(_xlfn.LET(_xlpm.h,_FV(D108,"Headquarters"),_xlpm.p,TRIM(_xlfn.TEXTSPLIT(_xlpm.h,",")),_xlpm.n,COLUMNS(_xlpm.p),_xlpm.z,INDEX(_xlpm.p,1,_xlpm.n),_xlpm.c,INDEX(_xlpm.p,1,_xlpm.n-2),_xlpm.s,INDEX(_xlpm.p,1,_xlpm.n-1),IF(_xlpm.n&lt;4,_xlpm.s,IF(RIGHT(_xlpm.z,2)="IE",_xlpm.s&amp;", "&amp;_xlfn.TEXTBEFORE(_xlpm.z," ",-1),IF(UPPER(LEFT(_xlpm.c,3))="BOX",_xlpm.s,_xlpm.c&amp;", "&amp;_xlpm.s)))),"")</f>
        <v>VISTA, CA</v>
      </c>
      <c r="G108" s="5" cm="1">
        <f t="array" aca="1" ref="G108" ca="1">_FV(D108,"price")</f>
        <v>0.50129999999999997</v>
      </c>
      <c r="H108" s="6" cm="1">
        <f t="array" aca="1" ref="H108" ca="1">_FV(D108,"Shares outstanding",TRUE)/1000</f>
        <v>21621.64</v>
      </c>
      <c r="I108" s="7">
        <f t="shared" ca="1" si="1"/>
        <v>10838.928131999999</v>
      </c>
    </row>
    <row r="109" spans="2:9" x14ac:dyDescent="0.2">
      <c r="B109" s="1" t="s">
        <v>220</v>
      </c>
      <c r="C109" s="2" t="s">
        <v>221</v>
      </c>
      <c r="D109" s="4" t="e" vm="107">
        <v>#VALUE!</v>
      </c>
      <c r="E109" s="1" t="str" cm="1">
        <f t="array" aca="1" ref="E109" ca="1">_FV(D109,"Industry")</f>
        <v>Software &amp; IT Services</v>
      </c>
      <c r="F109" t="str" cm="1">
        <f t="array" aca="1" ref="F109" ca="1">IFERROR(_xlfn.LET(_xlpm.h,_FV(D109,"Headquarters"),_xlpm.p,TRIM(_xlfn.TEXTSPLIT(_xlpm.h,",")),_xlpm.n,COLUMNS(_xlpm.p),_xlpm.z,INDEX(_xlpm.p,1,_xlpm.n),_xlpm.c,INDEX(_xlpm.p,1,_xlpm.n-2),_xlpm.s,INDEX(_xlpm.p,1,_xlpm.n-1),IF(_xlpm.n&lt;4,_xlpm.s,IF(RIGHT(_xlpm.z,2)="IE",_xlpm.s&amp;", "&amp;_xlfn.TEXTBEFORE(_xlpm.z," ",-1),IF(UPPER(LEFT(_xlpm.c,3))="BOX",_xlpm.s,_xlpm.c&amp;", "&amp;_xlpm.s)))),"")</f>
        <v>MARLBOROUGH, MA</v>
      </c>
      <c r="G109" s="5" cm="1">
        <f t="array" aca="1" ref="G109" ca="1">_FV(D109,"price")</f>
        <v>5.2</v>
      </c>
      <c r="H109" s="6" cm="1">
        <f t="array" aca="1" ref="H109" ca="1">_FV(D109,"Shares outstanding",TRUE)/1000</f>
        <v>5727.58</v>
      </c>
      <c r="I109" s="7">
        <f t="shared" ca="1" si="1"/>
        <v>29783.416000000001</v>
      </c>
    </row>
    <row r="110" spans="2:9" x14ac:dyDescent="0.2">
      <c r="B110" s="1" t="s">
        <v>222</v>
      </c>
      <c r="C110" s="2" t="s">
        <v>223</v>
      </c>
      <c r="D110" s="4" t="e" vm="108">
        <v>#VALUE!</v>
      </c>
      <c r="E110" s="1" t="str" cm="1">
        <f t="array" aca="1" ref="E110" ca="1">_FV(D110,"Industry")</f>
        <v>Machinery, Equipment &amp; Components</v>
      </c>
      <c r="F110" t="str" cm="1">
        <f t="array" aca="1" ref="F110" ca="1">IFERROR(_xlfn.LET(_xlpm.h,_FV(D110,"Headquarters"),_xlpm.p,TRIM(_xlfn.TEXTSPLIT(_xlpm.h,",")),_xlpm.n,COLUMNS(_xlpm.p),_xlpm.z,INDEX(_xlpm.p,1,_xlpm.n),_xlpm.c,INDEX(_xlpm.p,1,_xlpm.n-2),_xlpm.s,INDEX(_xlpm.p,1,_xlpm.n-1),IF(_xlpm.n&lt;4,_xlpm.s,IF(RIGHT(_xlpm.z,2)="IE",_xlpm.s&amp;", "&amp;_xlfn.TEXTBEFORE(_xlpm.z," ",-1),IF(UPPER(LEFT(_xlpm.c,3))="BOX",_xlpm.s,_xlpm.c&amp;", "&amp;_xlpm.s)))),"")</f>
        <v>FREMONT, CA</v>
      </c>
      <c r="G110" s="5" cm="1">
        <f t="array" aca="1" ref="G110" ca="1">_FV(D110,"price")</f>
        <v>2.94</v>
      </c>
      <c r="H110" s="6" cm="1">
        <f t="array" aca="1" ref="H110" ca="1">_FV(D110,"Shares outstanding",TRUE)/1000</f>
        <v>219448.5</v>
      </c>
      <c r="I110" s="7">
        <f t="shared" ca="1" si="1"/>
        <v>645178.59</v>
      </c>
    </row>
    <row r="111" spans="2:9" x14ac:dyDescent="0.2">
      <c r="B111" s="1" t="s">
        <v>224</v>
      </c>
      <c r="C111" s="2" t="s">
        <v>225</v>
      </c>
      <c r="D111" s="4" t="e" vm="109">
        <v>#VALUE!</v>
      </c>
      <c r="E111" s="1" t="str" cm="1">
        <f t="array" aca="1" ref="E111" ca="1">_FV(D111,"Industry")</f>
        <v>Electrical Utilities &amp; IPPs</v>
      </c>
      <c r="F111" t="str" cm="1">
        <f t="array" aca="1" ref="F111" ca="1">IFERROR(_xlfn.LET(_xlpm.h,_FV(D111,"Headquarters"),_xlpm.p,TRIM(_xlfn.TEXTSPLIT(_xlpm.h,",")),_xlpm.n,COLUMNS(_xlpm.p),_xlpm.z,INDEX(_xlpm.p,1,_xlpm.n),_xlpm.c,INDEX(_xlpm.p,1,_xlpm.n-2),_xlpm.s,INDEX(_xlpm.p,1,_xlpm.n-1),IF(_xlpm.n&lt;4,_xlpm.s,IF(RIGHT(_xlpm.z,2)="IE",_xlpm.s&amp;", "&amp;_xlfn.TEXTBEFORE(_xlpm.z," ",-1),IF(UPPER(LEFT(_xlpm.c,3))="BOX",_xlpm.s,_xlpm.c&amp;", "&amp;_xlpm.s)))),"")</f>
        <v>CORVALLIS, OR</v>
      </c>
      <c r="G111" s="5" cm="1">
        <f t="array" aca="1" ref="G111" ca="1">_FV(D111,"price")</f>
        <v>8.68</v>
      </c>
      <c r="H111" s="6" cm="1">
        <f t="array" aca="1" ref="H111" ca="1">_FV(D111,"Shares outstanding",TRUE)/1000</f>
        <v>429723.3</v>
      </c>
      <c r="I111" s="7">
        <f t="shared" ca="1" si="1"/>
        <v>3729998.2439999999</v>
      </c>
    </row>
    <row r="112" spans="2:9" x14ac:dyDescent="0.2">
      <c r="B112" s="1" t="s">
        <v>226</v>
      </c>
      <c r="C112" s="2" t="s">
        <v>227</v>
      </c>
      <c r="D112" s="4" t="e" vm="110">
        <v>#VALUE!</v>
      </c>
      <c r="E112" s="1" t="str" cm="1">
        <f t="array" aca="1" ref="E112" ca="1">_FV(D112,"Industry")</f>
        <v>Software &amp; IT Services</v>
      </c>
      <c r="F112" t="str" cm="1">
        <f t="array" aca="1" ref="F112" ca="1">IFERROR(_xlfn.LET(_xlpm.h,_FV(D112,"Headquarters"),_xlpm.p,TRIM(_xlfn.TEXTSPLIT(_xlpm.h,",")),_xlpm.n,COLUMNS(_xlpm.p),_xlpm.z,INDEX(_xlpm.p,1,_xlpm.n),_xlpm.c,INDEX(_xlpm.p,1,_xlpm.n-2),_xlpm.s,INDEX(_xlpm.p,1,_xlpm.n-1),IF(_xlpm.n&lt;4,_xlpm.s,IF(RIGHT(_xlpm.z,2)="IE",_xlpm.s&amp;", "&amp;_xlfn.TEXTBEFORE(_xlpm.z," ",-1),IF(UPPER(LEFT(_xlpm.c,3))="BOX",_xlpm.s,_xlpm.c&amp;", "&amp;_xlpm.s)))),"")</f>
        <v>GAITHERSBURG, MD</v>
      </c>
      <c r="G112" s="5" cm="1">
        <f t="array" aca="1" ref="G112" ca="1">_FV(D112,"price")</f>
        <v>1E-4</v>
      </c>
      <c r="H112" s="6" cm="1">
        <f t="array" aca="1" ref="H112" ca="1">_FV(D112,"Shares outstanding",TRUE)/1000</f>
        <v>167990.6</v>
      </c>
      <c r="I112" s="7">
        <f t="shared" ca="1" si="1"/>
        <v>16.799060000000001</v>
      </c>
    </row>
    <row r="113" spans="2:9" x14ac:dyDescent="0.2">
      <c r="B113" s="1" t="s">
        <v>228</v>
      </c>
      <c r="C113" s="2" t="s">
        <v>229</v>
      </c>
      <c r="D113" s="4" t="e" vm="111">
        <v>#VALUE!</v>
      </c>
      <c r="E113" s="1" t="str" cm="1">
        <f t="array" aca="1" ref="E113" ca="1">_FV(D113,"Industry")</f>
        <v>Machinery, Equipment &amp; Components</v>
      </c>
      <c r="F113" t="str" cm="1">
        <f t="array" aca="1" ref="F113" ca="1">IFERROR(_xlfn.LET(_xlpm.h,_FV(D113,"Headquarters"),_xlpm.p,TRIM(_xlfn.TEXTSPLIT(_xlpm.h,",")),_xlpm.n,COLUMNS(_xlpm.p),_xlpm.z,INDEX(_xlpm.p,1,_xlpm.n),_xlpm.c,INDEX(_xlpm.p,1,_xlpm.n-2),_xlpm.s,INDEX(_xlpm.p,1,_xlpm.n-1),IF(_xlpm.n&lt;4,_xlpm.s,IF(RIGHT(_xlpm.z,2)="IE",_xlpm.s&amp;", "&amp;_xlfn.TEXTBEFORE(_xlpm.z," ",-1),IF(UPPER(LEFT(_xlpm.c,3))="BOX",_xlpm.s,_xlpm.c&amp;", "&amp;_xlpm.s)))),"")</f>
        <v>AVON, NY</v>
      </c>
      <c r="G113" s="5" cm="1">
        <f t="array" aca="1" ref="G113" ca="1">_FV(D113,"price")</f>
        <v>7.0000000000000007E-2</v>
      </c>
      <c r="H113" s="6" cm="1">
        <f t="array" aca="1" ref="H113" ca="1">_FV(D113,"Shares outstanding",TRUE)/1000</f>
        <v>87234.55</v>
      </c>
      <c r="I113" s="7">
        <f t="shared" ca="1" si="1"/>
        <v>6106.4185000000007</v>
      </c>
    </row>
    <row r="114" spans="2:9" x14ac:dyDescent="0.2">
      <c r="B114" s="1" t="s">
        <v>230</v>
      </c>
      <c r="C114" s="2" t="s">
        <v>231</v>
      </c>
      <c r="D114" s="4" t="e" vm="112">
        <v>#VALUE!</v>
      </c>
      <c r="E114" s="1" t="str" cm="1">
        <f t="array" aca="1" ref="E114" ca="1">_FV(D114,"Industry")</f>
        <v>Renewable Energy</v>
      </c>
      <c r="F114" t="str" cm="1">
        <f t="array" aca="1" ref="F114" ca="1">IFERROR(_xlfn.LET(_xlpm.h,_FV(D114,"Headquarters"),_xlpm.p,TRIM(_xlfn.TEXTSPLIT(_xlpm.h,",")),_xlpm.n,COLUMNS(_xlpm.p),_xlpm.z,INDEX(_xlpm.p,1,_xlpm.n),_xlpm.c,INDEX(_xlpm.p,1,_xlpm.n-2),_xlpm.s,INDEX(_xlpm.p,1,_xlpm.n-1),IF(_xlpm.n&lt;4,_xlpm.s,IF(RIGHT(_xlpm.z,2)="IE",_xlpm.s&amp;", "&amp;_xlfn.TEXTBEFORE(_xlpm.z," ",-1),IF(UPPER(LEFT(_xlpm.c,3))="BOX",_xlpm.s,_xlpm.c&amp;", "&amp;_xlpm.s)))),"")</f>
        <v>SAN DIEGO, CA</v>
      </c>
      <c r="G114" s="5" cm="1">
        <f t="array" aca="1" ref="G114" ca="1">_FV(D114,"price")</f>
        <v>1.2250000000000001</v>
      </c>
      <c r="H114" s="6" cm="1">
        <f t="array" aca="1" ref="H114" ca="1">_FV(D114,"Shares outstanding",TRUE)/1000</f>
        <v>22633.31</v>
      </c>
      <c r="I114" s="7">
        <f t="shared" ca="1" si="1"/>
        <v>27725.804750000003</v>
      </c>
    </row>
    <row r="115" spans="2:9" x14ac:dyDescent="0.2">
      <c r="B115" s="1" t="s">
        <v>232</v>
      </c>
      <c r="C115" s="2" t="s">
        <v>233</v>
      </c>
      <c r="D115" s="4" t="e" vm="113">
        <v>#VALUE!</v>
      </c>
      <c r="E115" s="1" t="str" cm="1">
        <f t="array" aca="1" ref="E115" ca="1">_FV(D115,"Industry")</f>
        <v>Machinery, Equipment &amp; Components</v>
      </c>
      <c r="F115" t="str" cm="1">
        <f t="array" aca="1" ref="F115" ca="1">IFERROR(_xlfn.LET(_xlpm.h,_FV(D115,"Headquarters"),_xlpm.p,TRIM(_xlfn.TEXTSPLIT(_xlpm.h,",")),_xlpm.n,COLUMNS(_xlpm.p),_xlpm.z,INDEX(_xlpm.p,1,_xlpm.n),_xlpm.c,INDEX(_xlpm.p,1,_xlpm.n-2),_xlpm.s,INDEX(_xlpm.p,1,_xlpm.n-1),IF(_xlpm.n&lt;4,_xlpm.s,IF(RIGHT(_xlpm.z,2)="IE",_xlpm.s&amp;", "&amp;_xlfn.TEXTBEFORE(_xlpm.z," ",-1),IF(UPPER(LEFT(_xlpm.c,3))="BOX",_xlpm.s,_xlpm.c&amp;", "&amp;_xlpm.s)))),"")</f>
        <v>HAUPPAUGE, NY</v>
      </c>
      <c r="G115" s="5" cm="1">
        <f t="array" aca="1" ref="G115" ca="1">_FV(D115,"price")</f>
        <v>2.8824999999999998</v>
      </c>
      <c r="H115" s="6" cm="1">
        <f t="array" aca="1" ref="H115" ca="1">_FV(D115,"Shares outstanding",TRUE)/1000</f>
        <v>3345.41</v>
      </c>
      <c r="I115" s="7">
        <f t="shared" ca="1" si="1"/>
        <v>9643.1443249999993</v>
      </c>
    </row>
    <row r="116" spans="2:9" x14ac:dyDescent="0.2">
      <c r="B116" s="1" t="s">
        <v>234</v>
      </c>
      <c r="C116" s="2" t="s">
        <v>235</v>
      </c>
      <c r="D116" s="4" t="e" vm="114">
        <v>#VALUE!</v>
      </c>
      <c r="E116" s="1" t="str" cm="1">
        <f t="array" aca="1" ref="E116" ca="1">_FV(D116,"Industry")</f>
        <v>Machinery, Equipment &amp; Components</v>
      </c>
      <c r="F116" t="str" cm="1">
        <f t="array" aca="1" ref="F116" ca="1">IFERROR(_xlfn.LET(_xlpm.h,_FV(D116,"Headquarters"),_xlpm.p,TRIM(_xlfn.TEXTSPLIT(_xlpm.h,",")),_xlpm.n,COLUMNS(_xlpm.p),_xlpm.z,INDEX(_xlpm.p,1,_xlpm.n),_xlpm.c,INDEX(_xlpm.p,1,_xlpm.n-2),_xlpm.s,INDEX(_xlpm.p,1,_xlpm.n-1),IF(_xlpm.n&lt;4,_xlpm.s,IF(RIGHT(_xlpm.z,2)="IE",_xlpm.s&amp;", "&amp;_xlfn.TEXTBEFORE(_xlpm.z," ",-1),IF(UPPER(LEFT(_xlpm.c,3))="BOX",_xlpm.s,_xlpm.c&amp;", "&amp;_xlpm.s)))),"")</f>
        <v>WOBURN, MA</v>
      </c>
      <c r="G116" s="5" cm="1">
        <f t="array" aca="1" ref="G116" ca="1">_FV(D116,"price")</f>
        <v>0.5232</v>
      </c>
      <c r="H116" s="6" cm="1">
        <f t="array" aca="1" ref="H116" ca="1">_FV(D116,"Shares outstanding",TRUE)/1000</f>
        <v>371287.4</v>
      </c>
      <c r="I116" s="7">
        <f t="shared" ca="1" si="1"/>
        <v>194257.56768000001</v>
      </c>
    </row>
    <row r="117" spans="2:9" x14ac:dyDescent="0.2">
      <c r="B117" s="1" t="s">
        <v>236</v>
      </c>
      <c r="C117" s="2" t="s">
        <v>237</v>
      </c>
      <c r="D117" s="4" t="e" vm="115">
        <v>#VALUE!</v>
      </c>
      <c r="E117" s="1" t="str" cm="1">
        <f t="array" aca="1" ref="E117" ca="1">_FV(D117,"Industry")</f>
        <v>Construction &amp; Engineering</v>
      </c>
      <c r="F117" t="str" cm="1">
        <f t="array" aca="1" ref="F117" ca="1">IFERROR(_xlfn.LET(_xlpm.h,_FV(D117,"Headquarters"),_xlpm.p,TRIM(_xlfn.TEXTSPLIT(_xlpm.h,",")),_xlpm.n,COLUMNS(_xlpm.p),_xlpm.z,INDEX(_xlpm.p,1,_xlpm.n),_xlpm.c,INDEX(_xlpm.p,1,_xlpm.n-2),_xlpm.s,INDEX(_xlpm.p,1,_xlpm.n-1),IF(_xlpm.n&lt;4,_xlpm.s,IF(RIGHT(_xlpm.z,2)="IE",_xlpm.s&amp;", "&amp;_xlfn.TEXTBEFORE(_xlpm.z," ",-1),IF(UPPER(LEFT(_xlpm.c,3))="BOX",_xlpm.s,_xlpm.c&amp;", "&amp;_xlpm.s)))),"")</f>
        <v>PHOENIX, AZ</v>
      </c>
      <c r="G117" s="5" cm="1">
        <f t="array" aca="1" ref="G117" ca="1">_FV(D117,"price")</f>
        <v>9.9999999999999995E-7</v>
      </c>
      <c r="H117" s="6" cm="1">
        <f t="array" aca="1" ref="H117" ca="1">_FV(D117,"Shares outstanding",TRUE)/1000</f>
        <v>79806.98</v>
      </c>
      <c r="I117" s="7">
        <f t="shared" ca="1" si="1"/>
        <v>7.9806979999999986E-2</v>
      </c>
    </row>
    <row r="118" spans="2:9" x14ac:dyDescent="0.2">
      <c r="B118" s="1" t="s">
        <v>238</v>
      </c>
      <c r="C118" s="2" t="s">
        <v>239</v>
      </c>
      <c r="D118" s="4" t="e" vm="116">
        <v>#VALUE!</v>
      </c>
      <c r="E118" s="1" t="str" cm="1">
        <f t="array" aca="1" ref="E118" ca="1">_FV(D118,"Industry")</f>
        <v>Machinery, Equipment &amp; Components</v>
      </c>
      <c r="F118" t="str" cm="1">
        <f t="array" aca="1" ref="F118" ca="1">IFERROR(_xlfn.LET(_xlpm.h,_FV(D118,"Headquarters"),_xlpm.p,TRIM(_xlfn.TEXTSPLIT(_xlpm.h,",")),_xlpm.n,COLUMNS(_xlpm.p),_xlpm.z,INDEX(_xlpm.p,1,_xlpm.n),_xlpm.c,INDEX(_xlpm.p,1,_xlpm.n-2),_xlpm.s,INDEX(_xlpm.p,1,_xlpm.n-1),IF(_xlpm.n&lt;4,_xlpm.s,IF(RIGHT(_xlpm.z,2)="IE",_xlpm.s&amp;", "&amp;_xlfn.TEXTBEFORE(_xlpm.z," ",-1),IF(UPPER(LEFT(_xlpm.c,3))="BOX",_xlpm.s,_xlpm.c&amp;", "&amp;_xlpm.s)))),"")</f>
        <v>CALGARY, AB</v>
      </c>
      <c r="G118" s="5" cm="1">
        <f t="array" aca="1" ref="G118" ca="1">_FV(D118,"price")</f>
        <v>2E-3</v>
      </c>
      <c r="H118" s="6" cm="1">
        <f t="array" aca="1" ref="H118" ca="1">_FV(D118,"Shares outstanding",TRUE)/1000</f>
        <v>573009.69999999995</v>
      </c>
      <c r="I118" s="7">
        <f t="shared" ca="1" si="1"/>
        <v>1146.0193999999999</v>
      </c>
    </row>
    <row r="119" spans="2:9" x14ac:dyDescent="0.2">
      <c r="B119" s="1" t="s">
        <v>240</v>
      </c>
      <c r="C119" s="2" t="s">
        <v>241</v>
      </c>
      <c r="D119" s="4" t="e" vm="117">
        <v>#VALUE!</v>
      </c>
      <c r="E119" s="1" t="str" cm="1">
        <f t="array" aca="1" ref="E119" ca="1">_FV(D119,"Industry")</f>
        <v>Machinery, Equipment &amp; Components</v>
      </c>
      <c r="F119" t="str" cm="1">
        <f t="array" aca="1" ref="F119" ca="1">IFERROR(_xlfn.LET(_xlpm.h,_FV(D119,"Headquarters"),_xlpm.p,TRIM(_xlfn.TEXTSPLIT(_xlpm.h,",")),_xlpm.n,COLUMNS(_xlpm.p),_xlpm.z,INDEX(_xlpm.p,1,_xlpm.n),_xlpm.c,INDEX(_xlpm.p,1,_xlpm.n-2),_xlpm.s,INDEX(_xlpm.p,1,_xlpm.n-1),IF(_xlpm.n&lt;4,_xlpm.s,IF(RIGHT(_xlpm.z,2)="IE",_xlpm.s&amp;", "&amp;_xlfn.TEXTBEFORE(_xlpm.z," ",-1),IF(UPPER(LEFT(_xlpm.c,3))="BOX",_xlpm.s,_xlpm.c&amp;", "&amp;_xlpm.s)))),"")</f>
        <v>WEBSTER, TX</v>
      </c>
      <c r="G119" s="5" cm="1">
        <f t="array" aca="1" ref="G119" ca="1">_FV(D119,"price")</f>
        <v>2.41</v>
      </c>
      <c r="H119" s="6" cm="1">
        <f t="array" aca="1" ref="H119" ca="1">_FV(D119,"Shares outstanding",TRUE)/1000</f>
        <v>46280.32</v>
      </c>
      <c r="I119" s="7">
        <f t="shared" ca="1" si="1"/>
        <v>111535.57120000001</v>
      </c>
    </row>
    <row r="120" spans="2:9" x14ac:dyDescent="0.2">
      <c r="B120" s="1" t="s">
        <v>242</v>
      </c>
      <c r="C120" s="2" t="s">
        <v>243</v>
      </c>
      <c r="D120" s="4" t="e" vm="118">
        <v>#VALUE!</v>
      </c>
      <c r="E120" s="1" t="str" cm="1">
        <f t="array" aca="1" ref="E120" ca="1">_FV(D120,"Industry")</f>
        <v>Machinery, Equipment &amp; Components</v>
      </c>
      <c r="F120" t="str" cm="1">
        <f t="array" aca="1" ref="F120" ca="1">IFERROR(_xlfn.LET(_xlpm.h,_FV(D120,"Headquarters"),_xlpm.p,TRIM(_xlfn.TEXTSPLIT(_xlpm.h,",")),_xlpm.n,COLUMNS(_xlpm.p),_xlpm.z,INDEX(_xlpm.p,1,_xlpm.n),_xlpm.c,INDEX(_xlpm.p,1,_xlpm.n-2),_xlpm.s,INDEX(_xlpm.p,1,_xlpm.n-1),IF(_xlpm.n&lt;4,_xlpm.s,IF(RIGHT(_xlpm.z,2)="IE",_xlpm.s&amp;", "&amp;_xlfn.TEXTBEFORE(_xlpm.z," ",-1),IF(UPPER(LEFT(_xlpm.c,3))="BOX",_xlpm.s,_xlpm.c&amp;", "&amp;_xlpm.s)))),"")</f>
        <v>ROWLETT, TX</v>
      </c>
      <c r="G120" s="5" cm="1">
        <f t="array" aca="1" ref="G120" ca="1">_FV(D120,"price")</f>
        <v>9.9999999999999995E-7</v>
      </c>
      <c r="H120" s="6" cm="1">
        <f t="array" aca="1" ref="H120" ca="1">_FV(D120,"Shares outstanding",TRUE)/1000</f>
        <v>8599.4599999999991</v>
      </c>
      <c r="I120" s="7">
        <f t="shared" ca="1" si="1"/>
        <v>8.599459999999998E-3</v>
      </c>
    </row>
    <row r="121" spans="2:9" x14ac:dyDescent="0.2">
      <c r="B121" s="1" t="s">
        <v>244</v>
      </c>
      <c r="C121" s="2" t="s">
        <v>245</v>
      </c>
      <c r="D121" s="4" t="e" vm="119">
        <v>#VALUE!</v>
      </c>
      <c r="E121" s="1" t="str" cm="1">
        <f t="array" aca="1" ref="E121" ca="1">_FV(D121,"Industry")</f>
        <v>Machinery, Equipment &amp; Components</v>
      </c>
      <c r="F121" t="str" cm="1">
        <f t="array" aca="1" ref="F121" ca="1">IFERROR(_xlfn.LET(_xlpm.h,_FV(D121,"Headquarters"),_xlpm.p,TRIM(_xlfn.TEXTSPLIT(_xlpm.h,",")),_xlpm.n,COLUMNS(_xlpm.p),_xlpm.z,INDEX(_xlpm.p,1,_xlpm.n),_xlpm.c,INDEX(_xlpm.p,1,_xlpm.n-2),_xlpm.s,INDEX(_xlpm.p,1,_xlpm.n-1),IF(_xlpm.n&lt;4,_xlpm.s,IF(RIGHT(_xlpm.z,2)="IE",_xlpm.s&amp;", "&amp;_xlfn.TEXTBEFORE(_xlpm.z," ",-1),IF(UPPER(LEFT(_xlpm.c,3))="BOX",_xlpm.s,_xlpm.c&amp;", "&amp;_xlpm.s)))),"")</f>
        <v>MENOMONEE FALLS, WI</v>
      </c>
      <c r="G121" s="5" cm="1">
        <f t="array" aca="1" ref="G121" ca="1">_FV(D121,"price")</f>
        <v>1E-4</v>
      </c>
      <c r="H121" s="6" cm="1">
        <f t="array" aca="1" ref="H121" ca="1">_FV(D121,"Shares outstanding",TRUE)/1000</f>
        <v>68088.05</v>
      </c>
      <c r="I121" s="7">
        <f t="shared" ca="1" si="1"/>
        <v>6.8088050000000004</v>
      </c>
    </row>
    <row r="122" spans="2:9" x14ac:dyDescent="0.2">
      <c r="B122" s="1" t="s">
        <v>246</v>
      </c>
      <c r="C122" s="2" t="s">
        <v>247</v>
      </c>
      <c r="D122" s="4" t="e" vm="120">
        <v>#VALUE!</v>
      </c>
      <c r="E122" s="1" t="str" cm="1">
        <f t="array" aca="1" ref="E122" ca="1">_FV(D122,"Industry")</f>
        <v>Machinery, Equipment &amp; Components</v>
      </c>
      <c r="F122" t="str" cm="1">
        <f t="array" aca="1" ref="F122" ca="1">IFERROR(_xlfn.LET(_xlpm.h,_FV(D122,"Headquarters"),_xlpm.p,TRIM(_xlfn.TEXTSPLIT(_xlpm.h,",")),_xlpm.n,COLUMNS(_xlpm.p),_xlpm.z,INDEX(_xlpm.p,1,_xlpm.n),_xlpm.c,INDEX(_xlpm.p,1,_xlpm.n-2),_xlpm.s,INDEX(_xlpm.p,1,_xlpm.n-1),IF(_xlpm.n&lt;4,_xlpm.s,IF(RIGHT(_xlpm.z,2)="IE",_xlpm.s&amp;", "&amp;_xlfn.TEXTBEFORE(_xlpm.z," ",-1),IF(UPPER(LEFT(_xlpm.c,3))="BOX",_xlpm.s,_xlpm.c&amp;", "&amp;_xlpm.s)))),"")</f>
        <v>REDMOND, OR</v>
      </c>
      <c r="G122" s="5" cm="1">
        <f t="array" aca="1" ref="G122" ca="1">_FV(D122,"price")</f>
        <v>4.71</v>
      </c>
      <c r="H122" s="6" cm="1">
        <f t="array" aca="1" ref="H122" ca="1">_FV(D122,"Shares outstanding",TRUE)/1000</f>
        <v>1012.5</v>
      </c>
      <c r="I122" s="7">
        <f t="shared" ca="1" si="1"/>
        <v>4768.875</v>
      </c>
    </row>
    <row r="123" spans="2:9" x14ac:dyDescent="0.2">
      <c r="B123" s="1" t="s">
        <v>248</v>
      </c>
      <c r="C123" s="2" t="s">
        <v>249</v>
      </c>
      <c r="D123" s="4" t="e" vm="121">
        <v>#VALUE!</v>
      </c>
      <c r="E123" s="1" t="str" cm="1">
        <f t="array" aca="1" ref="E123" ca="1">_FV(D123,"Industry")</f>
        <v>Machinery, Equipment &amp; Components</v>
      </c>
      <c r="F123" t="str" cm="1">
        <f t="array" aca="1" ref="F123" ca="1">IFERROR(_xlfn.LET(_xlpm.h,_FV(D123,"Headquarters"),_xlpm.p,TRIM(_xlfn.TEXTSPLIT(_xlpm.h,",")),_xlpm.n,COLUMNS(_xlpm.p),_xlpm.z,INDEX(_xlpm.p,1,_xlpm.n),_xlpm.c,INDEX(_xlpm.p,1,_xlpm.n-2),_xlpm.s,INDEX(_xlpm.p,1,_xlpm.n-1),IF(_xlpm.n&lt;4,_xlpm.s,IF(RIGHT(_xlpm.z,2)="IE",_xlpm.s&amp;", "&amp;_xlfn.TEXTBEFORE(_xlpm.z," ",-1),IF(UPPER(LEFT(_xlpm.c,3))="BOX",_xlpm.s,_xlpm.c&amp;", "&amp;_xlpm.s)))),"")</f>
        <v>POWAY, CA</v>
      </c>
      <c r="G123" s="5" cm="1">
        <f t="array" aca="1" ref="G123" ca="1">_FV(D123,"price")</f>
        <v>3.17</v>
      </c>
      <c r="H123" s="6" cm="1">
        <f t="array" aca="1" ref="H123" ca="1">_FV(D123,"Shares outstanding",TRUE)/1000</f>
        <v>54906.42</v>
      </c>
      <c r="I123" s="7">
        <f t="shared" ca="1" si="1"/>
        <v>174053.35139999999</v>
      </c>
    </row>
    <row r="124" spans="2:9" x14ac:dyDescent="0.2">
      <c r="B124" s="1" t="s">
        <v>250</v>
      </c>
      <c r="C124" s="2" t="s">
        <v>251</v>
      </c>
      <c r="D124" s="4" t="e" vm="122">
        <v>#VALUE!</v>
      </c>
      <c r="E124" s="1" t="str" cm="1">
        <f t="array" aca="1" ref="E124" ca="1">_FV(D124,"Industry")</f>
        <v>Machinery, Equipment &amp; Components</v>
      </c>
      <c r="F124" t="str" cm="1">
        <f t="array" aca="1" ref="F124" ca="1">IFERROR(_xlfn.LET(_xlpm.h,_FV(D124,"Headquarters"),_xlpm.p,TRIM(_xlfn.TEXTSPLIT(_xlpm.h,",")),_xlpm.n,COLUMNS(_xlpm.p),_xlpm.z,INDEX(_xlpm.p,1,_xlpm.n),_xlpm.c,INDEX(_xlpm.p,1,_xlpm.n-2),_xlpm.s,INDEX(_xlpm.p,1,_xlpm.n-1),IF(_xlpm.n&lt;4,_xlpm.s,IF(RIGHT(_xlpm.z,2)="IE",_xlpm.s&amp;", "&amp;_xlfn.TEXTBEFORE(_xlpm.z," ",-1),IF(UPPER(LEFT(_xlpm.c,3))="BOX",_xlpm.s,_xlpm.c&amp;", "&amp;_xlpm.s)))),"")</f>
        <v>NORTH LAS VEGAS, NV</v>
      </c>
      <c r="G124" s="5" cm="1">
        <f t="array" aca="1" ref="G124" ca="1">_FV(D124,"price")</f>
        <v>2.0000000000000001E-4</v>
      </c>
      <c r="H124" s="6" cm="1">
        <f t="array" aca="1" ref="H124" ca="1">_FV(D124,"Shares outstanding",TRUE)/1000</f>
        <v>74487.740000000005</v>
      </c>
      <c r="I124" s="7">
        <f t="shared" ca="1" si="1"/>
        <v>14.897548000000002</v>
      </c>
    </row>
    <row r="125" spans="2:9" x14ac:dyDescent="0.2">
      <c r="B125" s="1" t="s">
        <v>252</v>
      </c>
      <c r="C125" s="2" t="s">
        <v>253</v>
      </c>
      <c r="D125" s="4" t="e" vm="123">
        <v>#VALUE!</v>
      </c>
      <c r="E125" s="1" t="str" cm="1">
        <f t="array" aca="1" ref="E125" ca="1">_FV(D125,"Industry")</f>
        <v>Electrical Utilities &amp; IPPs</v>
      </c>
      <c r="F125" t="str" cm="1">
        <f t="array" aca="1" ref="F125" ca="1">IFERROR(_xlfn.LET(_xlpm.h,_FV(D125,"Headquarters"),_xlpm.p,TRIM(_xlfn.TEXTSPLIT(_xlpm.h,",")),_xlpm.n,COLUMNS(_xlpm.p),_xlpm.z,INDEX(_xlpm.p,1,_xlpm.n),_xlpm.c,INDEX(_xlpm.p,1,_xlpm.n-2),_xlpm.s,INDEX(_xlpm.p,1,_xlpm.n-1),IF(_xlpm.n&lt;4,_xlpm.s,IF(RIGHT(_xlpm.z,2)="IE",_xlpm.s&amp;", "&amp;_xlfn.TEXTBEFORE(_xlpm.z," ",-1),IF(UPPER(LEFT(_xlpm.c,3))="BOX",_xlpm.s,_xlpm.c&amp;", "&amp;_xlpm.s)))),"")</f>
        <v>VANCOUVER, BC</v>
      </c>
      <c r="G125" s="5" cm="1">
        <f t="array" aca="1" ref="G125" ca="1">_FV(D125,"price")</f>
        <v>0.08</v>
      </c>
      <c r="H125" s="6" cm="1">
        <f t="array" aca="1" ref="H125" ca="1">_FV(D125,"Shares outstanding",TRUE)/1000</f>
        <v>138565.4</v>
      </c>
      <c r="I125" s="7">
        <f t="shared" ca="1" si="1"/>
        <v>11085.232</v>
      </c>
    </row>
    <row r="126" spans="2:9" x14ac:dyDescent="0.2">
      <c r="B126" s="1" t="s">
        <v>254</v>
      </c>
      <c r="C126" s="2" t="s">
        <v>255</v>
      </c>
      <c r="D126" s="4" t="e" vm="124">
        <v>#VALUE!</v>
      </c>
      <c r="E126" s="1" t="str" cm="1">
        <f t="array" aca="1" ref="E126" ca="1">_FV(D126,"Industry")</f>
        <v>Machinery, Equipment &amp; Components</v>
      </c>
      <c r="F126" t="str" cm="1">
        <f t="array" aca="1" ref="F126" ca="1">IFERROR(_xlfn.LET(_xlpm.h,_FV(D126,"Headquarters"),_xlpm.p,TRIM(_xlfn.TEXTSPLIT(_xlpm.h,",")),_xlpm.n,COLUMNS(_xlpm.p),_xlpm.z,INDEX(_xlpm.p,1,_xlpm.n),_xlpm.c,INDEX(_xlpm.p,1,_xlpm.n-2),_xlpm.s,INDEX(_xlpm.p,1,_xlpm.n-1),IF(_xlpm.n&lt;4,_xlpm.s,IF(RIGHT(_xlpm.z,2)="IE",_xlpm.s&amp;", "&amp;_xlfn.TEXTBEFORE(_xlpm.z," ",-1),IF(UPPER(LEFT(_xlpm.c,3))="BOX",_xlpm.s,_xlpm.c&amp;", "&amp;_xlpm.s)))),"")</f>
        <v>OAKLAND, NJ</v>
      </c>
      <c r="G126" s="5" cm="1">
        <f t="array" aca="1" ref="G126" ca="1">_FV(D126,"price")</f>
        <v>2.35</v>
      </c>
      <c r="H126" s="6" cm="1">
        <f t="array" aca="1" ref="H126" ca="1">_FV(D126,"Shares outstanding",TRUE)/1000</f>
        <v>1366.73</v>
      </c>
      <c r="I126" s="7">
        <f t="shared" ca="1" si="1"/>
        <v>3211.8155000000002</v>
      </c>
    </row>
    <row r="127" spans="2:9" x14ac:dyDescent="0.2">
      <c r="B127" s="1" t="s">
        <v>256</v>
      </c>
      <c r="C127" s="2" t="s">
        <v>257</v>
      </c>
      <c r="D127" s="4" t="e" vm="125">
        <v>#VALUE!</v>
      </c>
      <c r="E127" s="1" t="str" cm="1">
        <f t="array" aca="1" ref="E127" ca="1">_FV(D127,"Industry")</f>
        <v>Machinery, Equipment &amp; Components</v>
      </c>
      <c r="F127" t="str" cm="1">
        <f t="array" aca="1" ref="F127" ca="1">IFERROR(_xlfn.LET(_xlpm.h,_FV(D127,"Headquarters"),_xlpm.p,TRIM(_xlfn.TEXTSPLIT(_xlpm.h,",")),_xlpm.n,COLUMNS(_xlpm.p),_xlpm.z,INDEX(_xlpm.p,1,_xlpm.n),_xlpm.c,INDEX(_xlpm.p,1,_xlpm.n-2),_xlpm.s,INDEX(_xlpm.p,1,_xlpm.n-1),IF(_xlpm.n&lt;4,_xlpm.s,IF(RIGHT(_xlpm.z,2)="IE",_xlpm.s&amp;", "&amp;_xlfn.TEXTBEFORE(_xlpm.z," ",-1),IF(UPPER(LEFT(_xlpm.c,3))="BOX",_xlpm.s,_xlpm.c&amp;", "&amp;_xlpm.s)))),"")</f>
        <v>GARDENA, CA</v>
      </c>
      <c r="G127" s="5" cm="1">
        <f t="array" aca="1" ref="G127" ca="1">_FV(D127,"price")</f>
        <v>1.32</v>
      </c>
      <c r="H127" s="6" cm="1">
        <f t="array" aca="1" ref="H127" ca="1">_FV(D127,"Shares outstanding",TRUE)/1000</f>
        <v>4309.32</v>
      </c>
      <c r="I127" s="7">
        <f t="shared" ca="1" si="1"/>
        <v>5688.3023999999996</v>
      </c>
    </row>
    <row r="128" spans="2:9" x14ac:dyDescent="0.2">
      <c r="B128" s="1" t="s">
        <v>258</v>
      </c>
      <c r="C128" s="2" t="s">
        <v>259</v>
      </c>
      <c r="D128" s="4" t="e" vm="126">
        <v>#VALUE!</v>
      </c>
      <c r="E128" s="1" t="str" cm="1">
        <f t="array" aca="1" ref="E128" ca="1">_FV(D128,"Industry")</f>
        <v>Machinery, Equipment &amp; Components</v>
      </c>
      <c r="F128" t="str" cm="1">
        <f t="array" aca="1" ref="F128" ca="1">IFERROR(_xlfn.LET(_xlpm.h,_FV(D128,"Headquarters"),_xlpm.p,TRIM(_xlfn.TEXTSPLIT(_xlpm.h,",")),_xlpm.n,COLUMNS(_xlpm.p),_xlpm.z,INDEX(_xlpm.p,1,_xlpm.n),_xlpm.c,INDEX(_xlpm.p,1,_xlpm.n-2),_xlpm.s,INDEX(_xlpm.p,1,_xlpm.n-1),IF(_xlpm.n&lt;4,_xlpm.s,IF(RIGHT(_xlpm.z,2)="IE",_xlpm.s&amp;", "&amp;_xlfn.TEXTBEFORE(_xlpm.z," ",-1),IF(UPPER(LEFT(_xlpm.c,3))="BOX",_xlpm.s,_xlpm.c&amp;", "&amp;_xlpm.s)))),"")</f>
        <v>HOUSTON, TX</v>
      </c>
      <c r="G128" s="5" cm="1">
        <f t="array" aca="1" ref="G128" ca="1">_FV(D128,"price")</f>
        <v>2.7570000000000001E-2</v>
      </c>
      <c r="H128" s="6" cm="1">
        <f t="array" aca="1" ref="H128" ca="1">_FV(D128,"Shares outstanding",TRUE)/1000</f>
        <v>281786.5</v>
      </c>
      <c r="I128" s="7">
        <f t="shared" ca="1" si="1"/>
        <v>7768.8538050000006</v>
      </c>
    </row>
    <row r="129" spans="2:9" x14ac:dyDescent="0.2">
      <c r="B129" s="1" t="s">
        <v>260</v>
      </c>
      <c r="C129" s="2" t="s">
        <v>261</v>
      </c>
      <c r="D129" s="4" t="e" vm="127">
        <v>#VALUE!</v>
      </c>
      <c r="E129" s="1"/>
      <c r="F129" t="str" cm="1">
        <f t="array" aca="1" ref="F129" ca="1">IFERROR(_xlfn.LET(_xlpm.h,_FV(D129,"Headquarters"),_xlpm.p,TRIM(_xlfn.TEXTSPLIT(_xlpm.h,",")),_xlpm.n,COLUMNS(_xlpm.p),_xlpm.z,INDEX(_xlpm.p,1,_xlpm.n),_xlpm.c,INDEX(_xlpm.p,1,_xlpm.n-2),_xlpm.s,INDEX(_xlpm.p,1,_xlpm.n-1),IF(_xlpm.n&lt;4,_xlpm.s,IF(RIGHT(_xlpm.z,2)="IE",_xlpm.s&amp;", "&amp;_xlfn.TEXTBEFORE(_xlpm.z," ",-1),IF(UPPER(LEFT(_xlpm.c,3))="BOX",_xlpm.s,_xlpm.c&amp;", "&amp;_xlpm.s)))),"")</f>
        <v>LAS VEGAS, NV</v>
      </c>
      <c r="G129" s="5" cm="1">
        <f t="array" aca="1" ref="G129" ca="1">_FV(D129,"price")</f>
        <v>5.0000000000000001E-4</v>
      </c>
      <c r="H129" s="6"/>
      <c r="I129" s="7"/>
    </row>
    <row r="130" spans="2:9" x14ac:dyDescent="0.2">
      <c r="B130" s="1" t="s">
        <v>262</v>
      </c>
      <c r="C130" s="2" t="s">
        <v>263</v>
      </c>
      <c r="D130" s="4" t="e" vm="128">
        <v>#VALUE!</v>
      </c>
      <c r="E130" s="1" t="str" cm="1">
        <f t="array" aca="1" ref="E130" ca="1">_FV(D130,"Industry")</f>
        <v>Machinery, Equipment &amp; Components</v>
      </c>
      <c r="F130" t="str" cm="1">
        <f t="array" aca="1" ref="F130" ca="1">IFERROR(_xlfn.LET(_xlpm.h,_FV(D130,"Headquarters"),_xlpm.p,TRIM(_xlfn.TEXTSPLIT(_xlpm.h,",")),_xlpm.n,COLUMNS(_xlpm.p),_xlpm.z,INDEX(_xlpm.p,1,_xlpm.n),_xlpm.c,INDEX(_xlpm.p,1,_xlpm.n-2),_xlpm.s,INDEX(_xlpm.p,1,_xlpm.n-1),IF(_xlpm.n&lt;4,_xlpm.s,IF(RIGHT(_xlpm.z,2)="IE",_xlpm.s&amp;", "&amp;_xlfn.TEXTBEFORE(_xlpm.z," ",-1),IF(UPPER(LEFT(_xlpm.c,3))="BOX",_xlpm.s,_xlpm.c&amp;", "&amp;_xlpm.s)))),"")</f>
        <v>SAN JOSE, CA</v>
      </c>
      <c r="G130" s="5" cm="1">
        <f t="array" aca="1" ref="G130" ca="1">_FV(D130,"price")</f>
        <v>12.98</v>
      </c>
      <c r="H130" s="6" cm="1">
        <f t="array" aca="1" ref="H130" ca="1">_FV(D130,"Shares outstanding",TRUE)/1000</f>
        <v>5527.07</v>
      </c>
      <c r="I130" s="7">
        <f t="shared" ca="1" si="1"/>
        <v>71741.368600000002</v>
      </c>
    </row>
    <row r="131" spans="2:9" x14ac:dyDescent="0.2">
      <c r="B131" s="1" t="s">
        <v>264</v>
      </c>
      <c r="C131" s="2" t="s">
        <v>265</v>
      </c>
      <c r="D131" s="4" t="e" vm="129">
        <v>#VALUE!</v>
      </c>
      <c r="E131" s="1"/>
      <c r="F131" t="str" cm="1">
        <f t="array" aca="1" ref="F131" ca="1">IFERROR(_xlfn.LET(_xlpm.h,_FV(D131,"Headquarters"),_xlpm.p,TRIM(_xlfn.TEXTSPLIT(_xlpm.h,",")),_xlpm.n,COLUMNS(_xlpm.p),_xlpm.z,INDEX(_xlpm.p,1,_xlpm.n),_xlpm.c,INDEX(_xlpm.p,1,_xlpm.n-2),_xlpm.s,INDEX(_xlpm.p,1,_xlpm.n-1),IF(_xlpm.n&lt;4,_xlpm.s,IF(RIGHT(_xlpm.z,2)="IE",_xlpm.s&amp;", "&amp;_xlfn.TEXTBEFORE(_xlpm.z," ",-1),IF(UPPER(LEFT(_xlpm.c,3))="BOX",_xlpm.s,_xlpm.c&amp;", "&amp;_xlpm.s)))),"")</f>
        <v>ROANOKE, VA</v>
      </c>
      <c r="G131" s="5" cm="1">
        <f t="array" aca="1" ref="G131" ca="1">_FV(D131,"price")</f>
        <v>9.9999999999999995E-7</v>
      </c>
      <c r="H131" s="6"/>
      <c r="I131" s="7"/>
    </row>
    <row r="132" spans="2:9" x14ac:dyDescent="0.2">
      <c r="B132" s="1" t="s">
        <v>266</v>
      </c>
      <c r="C132" s="2" t="s">
        <v>267</v>
      </c>
      <c r="D132" s="4" t="e" vm="130">
        <v>#VALUE!</v>
      </c>
      <c r="E132" s="1" t="str" cm="1">
        <f t="array" aca="1" ref="E132" ca="1">_FV(D132,"Industry")</f>
        <v>Electrical Utilities &amp; IPPs</v>
      </c>
      <c r="F132" t="str" cm="1">
        <f t="array" aca="1" ref="F132" ca="1">IFERROR(_xlfn.LET(_xlpm.h,_FV(D132,"Headquarters"),_xlpm.p,TRIM(_xlfn.TEXTSPLIT(_xlpm.h,",")),_xlpm.n,COLUMNS(_xlpm.p),_xlpm.z,INDEX(_xlpm.p,1,_xlpm.n),_xlpm.c,INDEX(_xlpm.p,1,_xlpm.n-2),_xlpm.s,INDEX(_xlpm.p,1,_xlpm.n-1),IF(_xlpm.n&lt;4,_xlpm.s,IF(RIGHT(_xlpm.z,2)="IE",_xlpm.s&amp;", "&amp;_xlfn.TEXTBEFORE(_xlpm.z," ",-1),IF(UPPER(LEFT(_xlpm.c,3))="BOX",_xlpm.s,_xlpm.c&amp;", "&amp;_xlpm.s)))),"")</f>
        <v>SAN DIEGO, CA</v>
      </c>
      <c r="G132" s="5" cm="1">
        <f t="array" aca="1" ref="G132" ca="1">_FV(D132,"price")</f>
        <v>1.5</v>
      </c>
      <c r="H132" s="6" cm="1">
        <f t="array" aca="1" ref="H132" ca="1">_FV(D132,"Shares outstanding",TRUE)/1000</f>
        <v>993.79</v>
      </c>
      <c r="I132" s="7">
        <f t="shared" ref="I132:I168" ca="1" si="2">G132*H132</f>
        <v>1490.6849999999999</v>
      </c>
    </row>
    <row r="133" spans="2:9" x14ac:dyDescent="0.2">
      <c r="B133" s="1" t="s">
        <v>268</v>
      </c>
      <c r="C133" s="2" t="s">
        <v>269</v>
      </c>
      <c r="D133" s="4" t="e" vm="131">
        <v>#VALUE!</v>
      </c>
      <c r="E133" s="1" t="str" cm="1">
        <f t="array" aca="1" ref="E133" ca="1">_FV(D133,"Industry")</f>
        <v>Renewable Energy</v>
      </c>
      <c r="F133" t="str" cm="1">
        <f t="array" aca="1" ref="F133" ca="1">IFERROR(_xlfn.LET(_xlpm.h,_FV(D133,"Headquarters"),_xlpm.p,TRIM(_xlfn.TEXTSPLIT(_xlpm.h,",")),_xlpm.n,COLUMNS(_xlpm.p),_xlpm.z,INDEX(_xlpm.p,1,_xlpm.n),_xlpm.c,INDEX(_xlpm.p,1,_xlpm.n-2),_xlpm.s,INDEX(_xlpm.p,1,_xlpm.n-1),IF(_xlpm.n&lt;4,_xlpm.s,IF(RIGHT(_xlpm.z,2)="IE",_xlpm.s&amp;", "&amp;_xlfn.TEXTBEFORE(_xlpm.z," ",-1),IF(UPPER(LEFT(_xlpm.c,3))="BOX",_xlpm.s,_xlpm.c&amp;", "&amp;_xlpm.s)))),"")</f>
        <v>MONROE TOWNSHIP, NJ</v>
      </c>
      <c r="G133" s="5" cm="1">
        <f t="array" aca="1" ref="G133" ca="1">_FV(D133,"price")</f>
        <v>2.2000000000000002</v>
      </c>
      <c r="H133" s="6" cm="1">
        <f t="array" aca="1" ref="H133" ca="1">_FV(D133,"Shares outstanding",TRUE)/1000</f>
        <v>9004.6299999999992</v>
      </c>
      <c r="I133" s="7">
        <f t="shared" ca="1" si="2"/>
        <v>19810.186000000002</v>
      </c>
    </row>
    <row r="134" spans="2:9" x14ac:dyDescent="0.2">
      <c r="B134" s="1" t="s">
        <v>270</v>
      </c>
      <c r="C134" s="2" t="s">
        <v>271</v>
      </c>
      <c r="D134" s="4" t="s">
        <v>271</v>
      </c>
      <c r="E134" s="1"/>
      <c r="F134" t="str" cm="1">
        <f t="array" ref="F134">IFERROR(_xlfn.LET(_xlpm.h,_FV(D134,"Headquarters"),_xlpm.p,TRIM(_xlfn.TEXTSPLIT(_xlpm.h,",")),_xlpm.n,COLUMNS(_xlpm.p),_xlpm.z,INDEX(_xlpm.p,1,_xlpm.n),_xlpm.c,INDEX(_xlpm.p,1,_xlpm.n-2),_xlpm.s,INDEX(_xlpm.p,1,_xlpm.n-1),IF(_xlpm.n&lt;4,_xlpm.s,IF(RIGHT(_xlpm.z,2)="IE",_xlpm.s&amp;", "&amp;_xlfn.TEXTBEFORE(_xlpm.z," ",-1),IF(UPPER(LEFT(_xlpm.c,3))="BOX",_xlpm.s,_xlpm.c&amp;", "&amp;_xlpm.s)))),"")</f>
        <v/>
      </c>
      <c r="G134" s="5"/>
      <c r="H134" s="6"/>
      <c r="I134" s="7"/>
    </row>
    <row r="135" spans="2:9" x14ac:dyDescent="0.2">
      <c r="B135" s="1" t="s">
        <v>272</v>
      </c>
      <c r="C135" s="2" t="s">
        <v>273</v>
      </c>
      <c r="D135" s="4" t="e" vm="132">
        <v>#VALUE!</v>
      </c>
      <c r="E135" s="1" t="str" cm="1">
        <f t="array" aca="1" ref="E135" ca="1">_FV(D135,"Industry")</f>
        <v>Electrical Utilities &amp; IPPs</v>
      </c>
      <c r="F135" t="str" cm="1">
        <f t="array" aca="1" ref="F135" ca="1">IFERROR(_xlfn.LET(_xlpm.h,_FV(D135,"Headquarters"),_xlpm.p,TRIM(_xlfn.TEXTSPLIT(_xlpm.h,",")),_xlpm.n,COLUMNS(_xlpm.p),_xlpm.z,INDEX(_xlpm.p,1,_xlpm.n),_xlpm.c,INDEX(_xlpm.p,1,_xlpm.n-2),_xlpm.s,INDEX(_xlpm.p,1,_xlpm.n-1),IF(_xlpm.n&lt;4,_xlpm.s,IF(RIGHT(_xlpm.z,2)="IE",_xlpm.s&amp;", "&amp;_xlfn.TEXTBEFORE(_xlpm.z," ",-1),IF(UPPER(LEFT(_xlpm.c,3))="BOX",_xlpm.s,_xlpm.c&amp;", "&amp;_xlpm.s)))),"")</f>
        <v>VANCOUVER, BC</v>
      </c>
      <c r="G135" s="5" cm="1">
        <f t="array" aca="1" ref="G135" ca="1">_FV(D135,"price")</f>
        <v>0.18</v>
      </c>
      <c r="H135" s="6" cm="1">
        <f t="array" aca="1" ref="H135" ca="1">_FV(D135,"Shares outstanding",TRUE)/1000</f>
        <v>83835.97</v>
      </c>
      <c r="I135" s="7">
        <f t="shared" ca="1" si="2"/>
        <v>15090.4746</v>
      </c>
    </row>
    <row r="136" spans="2:9" x14ac:dyDescent="0.2">
      <c r="B136" s="1" t="s">
        <v>274</v>
      </c>
      <c r="C136" s="2" t="s">
        <v>275</v>
      </c>
      <c r="D136" s="4" t="e" vm="133">
        <v>#VALUE!</v>
      </c>
      <c r="E136" s="1" t="str" cm="1">
        <f t="array" aca="1" ref="E136" ca="1">_FV(D136,"Industry")</f>
        <v>Construction &amp; Engineering</v>
      </c>
      <c r="F136" t="str" cm="1">
        <f t="array" aca="1" ref="F136" ca="1">IFERROR(_xlfn.LET(_xlpm.h,_FV(D136,"Headquarters"),_xlpm.p,TRIM(_xlfn.TEXTSPLIT(_xlpm.h,",")),_xlpm.n,COLUMNS(_xlpm.p),_xlpm.z,INDEX(_xlpm.p,1,_xlpm.n),_xlpm.c,INDEX(_xlpm.p,1,_xlpm.n-2),_xlpm.s,INDEX(_xlpm.p,1,_xlpm.n-1),IF(_xlpm.n&lt;4,_xlpm.s,IF(RIGHT(_xlpm.z,2)="IE",_xlpm.s&amp;", "&amp;_xlfn.TEXTBEFORE(_xlpm.z," ",-1),IF(UPPER(LEFT(_xlpm.c,3))="BOX",_xlpm.s,_xlpm.c&amp;", "&amp;_xlpm.s)))),"")</f>
        <v>VANCOUVER, BC</v>
      </c>
      <c r="G136" s="5" cm="1">
        <f t="array" aca="1" ref="G136" ca="1">_FV(D136,"price")</f>
        <v>0.01</v>
      </c>
      <c r="H136" s="6" cm="1">
        <f t="array" aca="1" ref="H136" ca="1">_FV(D136,"Shares outstanding",TRUE)/1000</f>
        <v>295193.90000000002</v>
      </c>
      <c r="I136" s="7">
        <f t="shared" ca="1" si="2"/>
        <v>2951.9390000000003</v>
      </c>
    </row>
    <row r="137" spans="2:9" x14ac:dyDescent="0.2">
      <c r="B137" s="1" t="s">
        <v>276</v>
      </c>
      <c r="C137" s="2" t="s">
        <v>277</v>
      </c>
      <c r="D137" s="4" t="e" vm="134">
        <v>#VALUE!</v>
      </c>
      <c r="E137" s="1" t="str" cm="1">
        <f t="array" aca="1" ref="E137" ca="1">_FV(D137,"Industry")</f>
        <v>Electrical Utilities &amp; IPPs</v>
      </c>
      <c r="F137" t="str" cm="1">
        <f t="array" aca="1" ref="F137" ca="1">IFERROR(_xlfn.LET(_xlpm.h,_FV(D137,"Headquarters"),_xlpm.p,TRIM(_xlfn.TEXTSPLIT(_xlpm.h,",")),_xlpm.n,COLUMNS(_xlpm.p),_xlpm.z,INDEX(_xlpm.p,1,_xlpm.n),_xlpm.c,INDEX(_xlpm.p,1,_xlpm.n-2),_xlpm.s,INDEX(_xlpm.p,1,_xlpm.n-1),IF(_xlpm.n&lt;4,_xlpm.s,IF(RIGHT(_xlpm.z,2)="IE",_xlpm.s&amp;", "&amp;_xlfn.TEXTBEFORE(_xlpm.z," ",-1),IF(UPPER(LEFT(_xlpm.c,3))="BOX",_xlpm.s,_xlpm.c&amp;", "&amp;_xlpm.s)))),"")</f>
        <v>CHARLOTTE, NC</v>
      </c>
      <c r="G137" s="5" cm="1">
        <f t="array" aca="1" ref="G137" ca="1">_FV(D137,"price")</f>
        <v>4.0000000000000002E-4</v>
      </c>
      <c r="H137" s="6" cm="1">
        <f t="array" aca="1" ref="H137" ca="1">_FV(D137,"Shares outstanding",TRUE)/1000</f>
        <v>5305775</v>
      </c>
      <c r="I137" s="7">
        <f t="shared" ca="1" si="2"/>
        <v>2122.31</v>
      </c>
    </row>
    <row r="138" spans="2:9" x14ac:dyDescent="0.2">
      <c r="B138" s="1" t="s">
        <v>278</v>
      </c>
      <c r="C138" s="2" t="s">
        <v>279</v>
      </c>
      <c r="D138" s="4" t="e" vm="135">
        <v>#VALUE!</v>
      </c>
      <c r="E138" s="1"/>
      <c r="F138" t="str" cm="1">
        <f t="array" aca="1" ref="F138" ca="1">IFERROR(_xlfn.LET(_xlpm.h,_FV(D138,"Headquarters"),_xlpm.p,TRIM(_xlfn.TEXTSPLIT(_xlpm.h,",")),_xlpm.n,COLUMNS(_xlpm.p),_xlpm.z,INDEX(_xlpm.p,1,_xlpm.n),_xlpm.c,INDEX(_xlpm.p,1,_xlpm.n-2),_xlpm.s,INDEX(_xlpm.p,1,_xlpm.n-1),IF(_xlpm.n&lt;4,_xlpm.s,IF(RIGHT(_xlpm.z,2)="IE",_xlpm.s&amp;", "&amp;_xlfn.TEXTBEFORE(_xlpm.z," ",-1),IF(UPPER(LEFT(_xlpm.c,3))="BOX",_xlpm.s,_xlpm.c&amp;", "&amp;_xlpm.s)))),"")</f>
        <v>MI</v>
      </c>
      <c r="G138" s="5" cm="1">
        <f t="array" aca="1" ref="G138" ca="1">_FV(D138,"price")</f>
        <v>2.0000000000000001E-4</v>
      </c>
      <c r="H138" s="6"/>
      <c r="I138" s="7"/>
    </row>
    <row r="139" spans="2:9" x14ac:dyDescent="0.2">
      <c r="B139" s="1" t="s">
        <v>280</v>
      </c>
      <c r="C139" s="2" t="s">
        <v>281</v>
      </c>
      <c r="D139" s="4" t="e" vm="136">
        <v>#VALUE!</v>
      </c>
      <c r="E139" s="1" t="str" cm="1">
        <f t="array" aca="1" ref="E139" ca="1">_FV(D139,"Industry")</f>
        <v>Homebuilding &amp; Construction Supplies</v>
      </c>
      <c r="F139" t="str" cm="1">
        <f t="array" aca="1" ref="F139" ca="1">IFERROR(_xlfn.LET(_xlpm.h,_FV(D139,"Headquarters"),_xlpm.p,TRIM(_xlfn.TEXTSPLIT(_xlpm.h,",")),_xlpm.n,COLUMNS(_xlpm.p),_xlpm.z,INDEX(_xlpm.p,1,_xlpm.n),_xlpm.c,INDEX(_xlpm.p,1,_xlpm.n-2),_xlpm.s,INDEX(_xlpm.p,1,_xlpm.n-1),IF(_xlpm.n&lt;4,_xlpm.s,IF(RIGHT(_xlpm.z,2)="IE",_xlpm.s&amp;", "&amp;_xlfn.TEXTBEFORE(_xlpm.z," ",-1),IF(UPPER(LEFT(_xlpm.c,3))="BOX",_xlpm.s,_xlpm.c&amp;", "&amp;_xlpm.s)))),"")</f>
        <v>SOLON, OH</v>
      </c>
      <c r="G139" s="5" cm="1">
        <f t="array" aca="1" ref="G139" ca="1">_FV(D139,"price")</f>
        <v>2.65</v>
      </c>
      <c r="H139" s="6" cm="1">
        <f t="array" aca="1" ref="H139" ca="1">_FV(D139,"Shares outstanding",TRUE)/1000</f>
        <v>6369.22</v>
      </c>
      <c r="I139" s="7">
        <f t="shared" ca="1" si="2"/>
        <v>16878.433000000001</v>
      </c>
    </row>
    <row r="140" spans="2:9" x14ac:dyDescent="0.2">
      <c r="B140" s="1" t="s">
        <v>282</v>
      </c>
      <c r="C140" s="2" t="s">
        <v>283</v>
      </c>
      <c r="D140" s="4" t="e" vm="137">
        <v>#VALUE!</v>
      </c>
      <c r="E140" s="1" t="str" cm="1">
        <f t="array" aca="1" ref="E140" ca="1">_FV(D140,"Industry")</f>
        <v>Machinery, Equipment &amp; Components</v>
      </c>
      <c r="F140" t="str" cm="1">
        <f t="array" aca="1" ref="F140" ca="1">IFERROR(_xlfn.LET(_xlpm.h,_FV(D140,"Headquarters"),_xlpm.p,TRIM(_xlfn.TEXTSPLIT(_xlpm.h,",")),_xlpm.n,COLUMNS(_xlpm.p),_xlpm.z,INDEX(_xlpm.p,1,_xlpm.n),_xlpm.c,INDEX(_xlpm.p,1,_xlpm.n-2),_xlpm.s,INDEX(_xlpm.p,1,_xlpm.n-1),IF(_xlpm.n&lt;4,_xlpm.s,IF(RIGHT(_xlpm.z,2)="IE",_xlpm.s&amp;", "&amp;_xlfn.TEXTBEFORE(_xlpm.z," ",-1),IF(UPPER(LEFT(_xlpm.c,3))="BOX",_xlpm.s,_xlpm.c&amp;", "&amp;_xlpm.s)))),"")</f>
        <v>CEDAR PARK, TX</v>
      </c>
      <c r="G140" s="5" cm="1">
        <f t="array" aca="1" ref="G140" ca="1">_FV(D140,"price")</f>
        <v>4.1399999999999997</v>
      </c>
      <c r="H140" s="6" cm="1">
        <f t="array" aca="1" ref="H140" ca="1">_FV(D140,"Shares outstanding",TRUE)/1000</f>
        <v>178597.2</v>
      </c>
      <c r="I140" s="7">
        <f t="shared" ca="1" si="2"/>
        <v>739392.40799999994</v>
      </c>
    </row>
    <row r="141" spans="2:9" x14ac:dyDescent="0.2">
      <c r="B141" s="1" t="s">
        <v>284</v>
      </c>
      <c r="C141" s="2" t="s">
        <v>285</v>
      </c>
      <c r="D141" s="4" t="e" vm="138">
        <v>#VALUE!</v>
      </c>
      <c r="E141" s="1" t="str" cm="1">
        <f t="array" aca="1" ref="E141" ca="1">_FV(D141,"Industry")</f>
        <v>Renewable Energy</v>
      </c>
      <c r="F141" t="str" cm="1">
        <f t="array" aca="1" ref="F141" ca="1">IFERROR(_xlfn.LET(_xlpm.h,_FV(D141,"Headquarters"),_xlpm.p,TRIM(_xlfn.TEXTSPLIT(_xlpm.h,",")),_xlpm.n,COLUMNS(_xlpm.p),_xlpm.z,INDEX(_xlpm.p,1,_xlpm.n),_xlpm.c,INDEX(_xlpm.p,1,_xlpm.n-2),_xlpm.s,INDEX(_xlpm.p,1,_xlpm.n-1),IF(_xlpm.n&lt;4,_xlpm.s,IF(RIGHT(_xlpm.z,2)="IE",_xlpm.s&amp;", "&amp;_xlfn.TEXTBEFORE(_xlpm.z," ",-1),IF(UPPER(LEFT(_xlpm.c,3))="BOX",_xlpm.s,_xlpm.c&amp;", "&amp;_xlpm.s)))),"")</f>
        <v>BURNABY, BC</v>
      </c>
      <c r="G141" s="5" cm="1">
        <f t="array" aca="1" ref="G141" ca="1">_FV(D141,"price")</f>
        <v>4.4999999999999998E-2</v>
      </c>
      <c r="H141" s="6" cm="1">
        <f t="array" aca="1" ref="H141" ca="1">_FV(D141,"Shares outstanding",TRUE)/1000</f>
        <v>110793.60000000001</v>
      </c>
      <c r="I141" s="7">
        <f t="shared" ca="1" si="2"/>
        <v>4985.7120000000004</v>
      </c>
    </row>
    <row r="142" spans="2:9" x14ac:dyDescent="0.2">
      <c r="B142" s="1" t="s">
        <v>286</v>
      </c>
      <c r="C142" s="2" t="s">
        <v>287</v>
      </c>
      <c r="D142" s="4" t="e" vm="139">
        <v>#VALUE!</v>
      </c>
      <c r="E142" s="1" t="str" cm="1">
        <f t="array" aca="1" ref="E142" ca="1">_FV(D142,"Industry")</f>
        <v>Renewable Energy</v>
      </c>
      <c r="F142" t="str" cm="1">
        <f t="array" aca="1" ref="F142" ca="1">IFERROR(_xlfn.LET(_xlpm.h,_FV(D142,"Headquarters"),_xlpm.p,TRIM(_xlfn.TEXTSPLIT(_xlpm.h,",")),_xlpm.n,COLUMNS(_xlpm.p),_xlpm.z,INDEX(_xlpm.p,1,_xlpm.n),_xlpm.c,INDEX(_xlpm.p,1,_xlpm.n-2),_xlpm.s,INDEX(_xlpm.p,1,_xlpm.n-1),IF(_xlpm.n&lt;4,_xlpm.s,IF(RIGHT(_xlpm.z,2)="IE",_xlpm.s&amp;", "&amp;_xlfn.TEXTBEFORE(_xlpm.z," ",-1),IF(UPPER(LEFT(_xlpm.c,3))="BOX",_xlpm.s,_xlpm.c&amp;", "&amp;_xlpm.s)))),"")</f>
        <v>LIVERMORE, CA</v>
      </c>
      <c r="G142" s="5" cm="1">
        <f t="array" aca="1" ref="G142" ca="1">_FV(D142,"price")</f>
        <v>2.9999999999999997E-4</v>
      </c>
      <c r="H142" s="6" cm="1">
        <f t="array" aca="1" ref="H142" ca="1">_FV(D142,"Shares outstanding",TRUE)/1000</f>
        <v>3788.63</v>
      </c>
      <c r="I142" s="7">
        <f t="shared" ca="1" si="2"/>
        <v>1.1365889999999998</v>
      </c>
    </row>
    <row r="143" spans="2:9" x14ac:dyDescent="0.2">
      <c r="B143" s="1" t="s">
        <v>288</v>
      </c>
      <c r="C143" s="2" t="s">
        <v>289</v>
      </c>
      <c r="D143" s="4" t="e" vm="140">
        <v>#VALUE!</v>
      </c>
      <c r="E143" s="1" t="str" cm="1">
        <f t="array" aca="1" ref="E143" ca="1">_FV(D143,"Industry")</f>
        <v>Renewable Energy</v>
      </c>
      <c r="F143" t="str" cm="1">
        <f t="array" aca="1" ref="F143" ca="1">IFERROR(_xlfn.LET(_xlpm.h,_FV(D143,"Headquarters"),_xlpm.p,TRIM(_xlfn.TEXTSPLIT(_xlpm.h,",")),_xlpm.n,COLUMNS(_xlpm.p),_xlpm.z,INDEX(_xlpm.p,1,_xlpm.n),_xlpm.c,INDEX(_xlpm.p,1,_xlpm.n-2),_xlpm.s,INDEX(_xlpm.p,1,_xlpm.n-1),IF(_xlpm.n&lt;4,_xlpm.s,IF(RIGHT(_xlpm.z,2)="IE",_xlpm.s&amp;", "&amp;_xlfn.TEXTBEFORE(_xlpm.z," ",-1),IF(UPPER(LEFT(_xlpm.c,3))="BOX",_xlpm.s,_xlpm.c&amp;", "&amp;_xlpm.s)))),"")</f>
        <v>PHILADELPHIA, PA</v>
      </c>
      <c r="G143" s="5" cm="1">
        <f t="array" aca="1" ref="G143" ca="1">_FV(D143,"price")</f>
        <v>4.0000000000000001E-3</v>
      </c>
      <c r="H143" s="6" cm="1">
        <f t="array" aca="1" ref="H143" ca="1">_FV(D143,"Shares outstanding",TRUE)/1000</f>
        <v>190012.1</v>
      </c>
      <c r="I143" s="7">
        <f t="shared" ca="1" si="2"/>
        <v>760.04840000000002</v>
      </c>
    </row>
    <row r="144" spans="2:9" x14ac:dyDescent="0.2">
      <c r="B144" s="1" t="s">
        <v>290</v>
      </c>
      <c r="C144" s="2" t="s">
        <v>291</v>
      </c>
      <c r="D144" s="4" t="e" vm="141">
        <v>#VALUE!</v>
      </c>
      <c r="E144" s="1" t="str" cm="1">
        <f t="array" aca="1" ref="E144" ca="1">_FV(D144,"Industry")</f>
        <v>Real Estate Operations</v>
      </c>
      <c r="F144" t="str" cm="1">
        <f t="array" aca="1" ref="F144" ca="1">IFERROR(_xlfn.LET(_xlpm.h,_FV(D144,"Headquarters"),_xlpm.p,TRIM(_xlfn.TEXTSPLIT(_xlpm.h,",")),_xlpm.n,COLUMNS(_xlpm.p),_xlpm.z,INDEX(_xlpm.p,1,_xlpm.n),_xlpm.c,INDEX(_xlpm.p,1,_xlpm.n-2),_xlpm.s,INDEX(_xlpm.p,1,_xlpm.n-1),IF(_xlpm.n&lt;4,_xlpm.s,IF(RIGHT(_xlpm.z,2)="IE",_xlpm.s&amp;", "&amp;_xlfn.TEXTBEFORE(_xlpm.z," ",-1),IF(UPPER(LEFT(_xlpm.c,3))="BOX",_xlpm.s,_xlpm.c&amp;", "&amp;_xlpm.s)))),"")</f>
        <v>NORTH LAS VEGAS, NV</v>
      </c>
      <c r="G144" s="5" cm="1">
        <f t="array" aca="1" ref="G144" ca="1">_FV(D144,"price")</f>
        <v>9.9999999999999995E-7</v>
      </c>
      <c r="H144" s="6" cm="1">
        <f t="array" aca="1" ref="H144" ca="1">_FV(D144,"Shares outstanding",TRUE)/1000</f>
        <v>95999.96</v>
      </c>
      <c r="I144" s="7">
        <f t="shared" ca="1" si="2"/>
        <v>9.5999959999999995E-2</v>
      </c>
    </row>
    <row r="145" spans="2:9" x14ac:dyDescent="0.2">
      <c r="B145" s="1" t="s">
        <v>292</v>
      </c>
      <c r="C145" s="2" t="s">
        <v>293</v>
      </c>
      <c r="D145" s="4" t="s">
        <v>293</v>
      </c>
      <c r="E145" s="1"/>
      <c r="G145" s="5"/>
      <c r="H145" s="6"/>
      <c r="I145" s="7"/>
    </row>
    <row r="146" spans="2:9" x14ac:dyDescent="0.2">
      <c r="B146" s="1" t="s">
        <v>294</v>
      </c>
      <c r="C146" s="2" t="s">
        <v>295</v>
      </c>
      <c r="D146" s="4" t="e" vm="142">
        <v>#VALUE!</v>
      </c>
      <c r="E146" s="1" t="str" cm="1">
        <f t="array" aca="1" ref="E146" ca="1">_FV(D146,"Industry")</f>
        <v>Renewable Energy</v>
      </c>
      <c r="F146" t="str" cm="1">
        <f t="array" aca="1" ref="F146" ca="1">IFERROR(_xlfn.LET(_xlpm.h,_FV(D146,"Headquarters"),_xlpm.p,TRIM(_xlfn.TEXTSPLIT(_xlpm.h,",")),_xlpm.n,COLUMNS(_xlpm.p),_xlpm.z,INDEX(_xlpm.p,1,_xlpm.n),_xlpm.c,INDEX(_xlpm.p,1,_xlpm.n-2),_xlpm.s,INDEX(_xlpm.p,1,_xlpm.n-1),IF(_xlpm.n&lt;4,_xlpm.s,IF(RIGHT(_xlpm.z,2)="IE",_xlpm.s&amp;", "&amp;_xlfn.TEXTBEFORE(_xlpm.z," ",-1),IF(UPPER(LEFT(_xlpm.c,3))="BOX",_xlpm.s,_xlpm.c&amp;", "&amp;_xlpm.s)))),"")</f>
        <v>ON</v>
      </c>
      <c r="G146" s="5" cm="1">
        <f t="array" aca="1" ref="G146" ca="1">_FV(D146,"price")</f>
        <v>4.4999999999999998E-2</v>
      </c>
      <c r="H146" s="6" cm="1">
        <f t="array" aca="1" ref="H146" ca="1">_FV(D146,"Shares outstanding",TRUE)/1000</f>
        <v>100635.9</v>
      </c>
      <c r="I146" s="7">
        <f t="shared" ca="1" si="2"/>
        <v>4528.6154999999999</v>
      </c>
    </row>
    <row r="147" spans="2:9" x14ac:dyDescent="0.2">
      <c r="B147" s="1" t="s">
        <v>296</v>
      </c>
      <c r="C147" s="2" t="s">
        <v>297</v>
      </c>
      <c r="D147" s="4" t="e" vm="143">
        <v>#VALUE!</v>
      </c>
      <c r="E147" s="1" t="str" cm="1">
        <f t="array" aca="1" ref="E147" ca="1">_FV(D147,"Industry")</f>
        <v>Automobiles &amp; Auto Parts</v>
      </c>
      <c r="F147" t="str" cm="1">
        <f t="array" aca="1" ref="F147" ca="1">IFERROR(_xlfn.LET(_xlpm.h,_FV(D147,"Headquarters"),_xlpm.p,TRIM(_xlfn.TEXTSPLIT(_xlpm.h,",")),_xlpm.n,COLUMNS(_xlpm.p),_xlpm.z,INDEX(_xlpm.p,1,_xlpm.n),_xlpm.c,INDEX(_xlpm.p,1,_xlpm.n-2),_xlpm.s,INDEX(_xlpm.p,1,_xlpm.n-1),IF(_xlpm.n&lt;4,_xlpm.s,IF(RIGHT(_xlpm.z,2)="IE",_xlpm.s&amp;", "&amp;_xlfn.TEXTBEFORE(_xlpm.z," ",-1),IF(UPPER(LEFT(_xlpm.c,3))="BOX",_xlpm.s,_xlpm.c&amp;", "&amp;_xlpm.s)))),"")</f>
        <v>ON</v>
      </c>
      <c r="G147" s="5" cm="1">
        <f t="array" aca="1" ref="G147" ca="1">_FV(D147,"price")</f>
        <v>0.03</v>
      </c>
      <c r="H147" s="6" cm="1">
        <f t="array" aca="1" ref="H147" ca="1">_FV(D147,"Shares outstanding",TRUE)/1000</f>
        <v>117243.2</v>
      </c>
      <c r="I147" s="7">
        <f t="shared" ca="1" si="2"/>
        <v>3517.2959999999998</v>
      </c>
    </row>
    <row r="148" spans="2:9" x14ac:dyDescent="0.2">
      <c r="B148" s="1" t="s">
        <v>298</v>
      </c>
      <c r="C148" s="2" t="s">
        <v>299</v>
      </c>
      <c r="D148" s="4" t="e" vm="144">
        <v>#VALUE!</v>
      </c>
      <c r="E148" s="1" t="str" cm="1">
        <f t="array" aca="1" ref="E148" ca="1">_FV(D148,"Industry")</f>
        <v>Machinery, Equipment &amp; Components</v>
      </c>
      <c r="F148" t="str" cm="1">
        <f t="array" aca="1" ref="F148" ca="1">IFERROR(_xlfn.LET(_xlpm.h,_FV(D148,"Headquarters"),_xlpm.p,TRIM(_xlfn.TEXTSPLIT(_xlpm.h,",")),_xlpm.n,COLUMNS(_xlpm.p),_xlpm.z,INDEX(_xlpm.p,1,_xlpm.n),_xlpm.c,INDEX(_xlpm.p,1,_xlpm.n-2),_xlpm.s,INDEX(_xlpm.p,1,_xlpm.n-1),IF(_xlpm.n&lt;4,_xlpm.s,IF(RIGHT(_xlpm.z,2)="IE",_xlpm.s&amp;", "&amp;_xlfn.TEXTBEFORE(_xlpm.z," ",-1),IF(UPPER(LEFT(_xlpm.c,3))="BOX",_xlpm.s,_xlpm.c&amp;", "&amp;_xlpm.s)))),"")</f>
        <v>NEW YORK, NY</v>
      </c>
      <c r="G148" s="5" cm="1">
        <f t="array" aca="1" ref="G148" ca="1">_FV(D148,"price")</f>
        <v>9.9999999999999995E-7</v>
      </c>
      <c r="H148" s="6" cm="1">
        <f t="array" aca="1" ref="H148" ca="1">_FV(D148,"Shares outstanding",TRUE)/1000</f>
        <v>70443.14</v>
      </c>
      <c r="I148" s="7">
        <f t="shared" ca="1" si="2"/>
        <v>7.0443140000000001E-2</v>
      </c>
    </row>
    <row r="149" spans="2:9" x14ac:dyDescent="0.2">
      <c r="B149" s="1" t="s">
        <v>300</v>
      </c>
      <c r="C149" s="2" t="s">
        <v>301</v>
      </c>
      <c r="D149" s="4" t="e" vm="145">
        <v>#VALUE!</v>
      </c>
      <c r="E149" s="1" t="str" cm="1">
        <f t="array" aca="1" ref="E149" ca="1">_FV(D149,"Industry")</f>
        <v>Machinery, Equipment &amp; Components</v>
      </c>
      <c r="F149" t="str" cm="1">
        <f t="array" aca="1" ref="F149" ca="1">IFERROR(_xlfn.LET(_xlpm.h,_FV(D149,"Headquarters"),_xlpm.p,TRIM(_xlfn.TEXTSPLIT(_xlpm.h,",")),_xlpm.n,COLUMNS(_xlpm.p),_xlpm.z,INDEX(_xlpm.p,1,_xlpm.n),_xlpm.c,INDEX(_xlpm.p,1,_xlpm.n-2),_xlpm.s,INDEX(_xlpm.p,1,_xlpm.n-1),IF(_xlpm.n&lt;4,_xlpm.s,IF(RIGHT(_xlpm.z,2)="IE",_xlpm.s&amp;", "&amp;_xlfn.TEXTBEFORE(_xlpm.z," ",-1),IF(UPPER(LEFT(_xlpm.c,3))="BOX",_xlpm.s,_xlpm.c&amp;", "&amp;_xlpm.s)))),"")</f>
        <v>VANCOUVER, BC</v>
      </c>
      <c r="G149" s="5" cm="1">
        <f t="array" aca="1" ref="G149" ca="1">_FV(D149,"price")</f>
        <v>5.5E-2</v>
      </c>
      <c r="H149" s="6" cm="1">
        <f t="array" aca="1" ref="H149" ca="1">_FV(D149,"Shares outstanding",TRUE)/1000</f>
        <v>141869.9</v>
      </c>
      <c r="I149" s="7">
        <f t="shared" ca="1" si="2"/>
        <v>7802.8445000000002</v>
      </c>
    </row>
    <row r="150" spans="2:9" x14ac:dyDescent="0.2">
      <c r="B150" s="1" t="s">
        <v>302</v>
      </c>
      <c r="C150" s="2" t="s">
        <v>303</v>
      </c>
      <c r="D150" s="4" t="e" vm="146">
        <v>#VALUE!</v>
      </c>
      <c r="E150" s="1" t="str" cm="1">
        <f t="array" aca="1" ref="E150" ca="1">_FV(D150,"Industry")</f>
        <v>Machinery, Equipment &amp; Components</v>
      </c>
      <c r="F150" t="str" cm="1">
        <f t="array" aca="1" ref="F150" ca="1">IFERROR(_xlfn.LET(_xlpm.h,_FV(D150,"Headquarters"),_xlpm.p,TRIM(_xlfn.TEXTSPLIT(_xlpm.h,",")),_xlpm.n,COLUMNS(_xlpm.p),_xlpm.z,INDEX(_xlpm.p,1,_xlpm.n),_xlpm.c,INDEX(_xlpm.p,1,_xlpm.n-2),_xlpm.s,INDEX(_xlpm.p,1,_xlpm.n-1),IF(_xlpm.n&lt;4,_xlpm.s,IF(RIGHT(_xlpm.z,2)="IE",_xlpm.s&amp;", "&amp;_xlfn.TEXTBEFORE(_xlpm.z," ",-1),IF(UPPER(LEFT(_xlpm.c,3))="BOX",_xlpm.s,_xlpm.c&amp;", "&amp;_xlpm.s)))),"")</f>
        <v>ON</v>
      </c>
      <c r="G150" s="5" cm="1">
        <f t="array" aca="1" ref="G150" ca="1">_FV(D150,"price")</f>
        <v>1.04</v>
      </c>
      <c r="H150" s="6" cm="1">
        <f t="array" aca="1" ref="H150" ca="1">_FV(D150,"Shares outstanding",TRUE)/1000</f>
        <v>116735.1</v>
      </c>
      <c r="I150" s="7">
        <f t="shared" ca="1" si="2"/>
        <v>121404.50400000002</v>
      </c>
    </row>
    <row r="151" spans="2:9" x14ac:dyDescent="0.2">
      <c r="B151" s="1" t="s">
        <v>304</v>
      </c>
      <c r="C151" s="2" t="s">
        <v>305</v>
      </c>
      <c r="D151" s="4" t="e" vm="147">
        <v>#VALUE!</v>
      </c>
      <c r="E151" s="1" t="str" cm="1">
        <f t="array" aca="1" ref="E151" ca="1">_FV(D151,"Industry")</f>
        <v>Machinery, Equipment &amp; Components</v>
      </c>
      <c r="F151" t="str" cm="1">
        <f t="array" aca="1" ref="F151" ca="1">IFERROR(_xlfn.LET(_xlpm.h,_FV(D151,"Headquarters"),_xlpm.p,TRIM(_xlfn.TEXTSPLIT(_xlpm.h,",")),_xlpm.n,COLUMNS(_xlpm.p),_xlpm.z,INDEX(_xlpm.p,1,_xlpm.n),_xlpm.c,INDEX(_xlpm.p,1,_xlpm.n-2),_xlpm.s,INDEX(_xlpm.p,1,_xlpm.n-1),IF(_xlpm.n&lt;4,_xlpm.s,IF(RIGHT(_xlpm.z,2)="IE",_xlpm.s&amp;", "&amp;_xlfn.TEXTBEFORE(_xlpm.z," ",-1),IF(UPPER(LEFT(_xlpm.c,3))="BOX",_xlpm.s,_xlpm.c&amp;", "&amp;_xlpm.s)))),"")</f>
        <v>WILSONVILLE, OR</v>
      </c>
      <c r="G151" s="5" cm="1">
        <f t="array" aca="1" ref="G151" ca="1">_FV(D151,"price")</f>
        <v>0.3659</v>
      </c>
      <c r="H151" s="6" cm="1">
        <f t="array" aca="1" ref="H151" ca="1">_FV(D151,"Shares outstanding",TRUE)/1000</f>
        <v>40274.15</v>
      </c>
      <c r="I151" s="7">
        <f t="shared" ca="1" si="2"/>
        <v>14736.311485</v>
      </c>
    </row>
    <row r="152" spans="2:9" x14ac:dyDescent="0.2">
      <c r="B152" s="1" t="s">
        <v>306</v>
      </c>
      <c r="C152" s="2" t="s">
        <v>307</v>
      </c>
      <c r="D152" s="4" t="e" vm="148">
        <v>#VALUE!</v>
      </c>
      <c r="E152" s="1" t="str" cm="1">
        <f t="array" aca="1" ref="E152" ca="1">_FV(D152,"Industry")</f>
        <v>Homebuilding &amp; Construction Supplies</v>
      </c>
      <c r="F152" t="str" cm="1">
        <f t="array" aca="1" ref="F152" ca="1">IFERROR(_xlfn.LET(_xlpm.h,_FV(D152,"Headquarters"),_xlpm.p,TRIM(_xlfn.TEXTSPLIT(_xlpm.h,",")),_xlpm.n,COLUMNS(_xlpm.p),_xlpm.z,INDEX(_xlpm.p,1,_xlpm.n),_xlpm.c,INDEX(_xlpm.p,1,_xlpm.n-2),_xlpm.s,INDEX(_xlpm.p,1,_xlpm.n-1),IF(_xlpm.n&lt;4,_xlpm.s,IF(RIGHT(_xlpm.z,2)="IE",_xlpm.s&amp;", "&amp;_xlfn.TEXTBEFORE(_xlpm.z," ",-1),IF(UPPER(LEFT(_xlpm.c,3))="BOX",_xlpm.s,_xlpm.c&amp;", "&amp;_xlpm.s)))),"")</f>
        <v>CARSON, CA</v>
      </c>
      <c r="G152" s="5" cm="1">
        <f t="array" aca="1" ref="G152" ca="1">_FV(D152,"price")</f>
        <v>1E-4</v>
      </c>
      <c r="H152" s="6" cm="1">
        <f t="array" aca="1" ref="H152" ca="1">_FV(D152,"Shares outstanding",TRUE)/1000</f>
        <v>60610.25</v>
      </c>
      <c r="I152" s="7">
        <f t="shared" ca="1" si="2"/>
        <v>6.0610249999999999</v>
      </c>
    </row>
    <row r="153" spans="2:9" x14ac:dyDescent="0.2">
      <c r="B153" s="1" t="s">
        <v>308</v>
      </c>
      <c r="C153" s="2" t="s">
        <v>309</v>
      </c>
      <c r="D153" s="4" t="e" vm="149">
        <v>#VALUE!</v>
      </c>
      <c r="E153" s="1" t="str" cm="1">
        <f t="array" aca="1" ref="E153" ca="1">_FV(D153,"Industry")</f>
        <v>Machinery, Equipment &amp; Components</v>
      </c>
      <c r="F153" t="str" cm="1">
        <f t="array" aca="1" ref="F153" ca="1">IFERROR(_xlfn.LET(_xlpm.h,_FV(D153,"Headquarters"),_xlpm.p,TRIM(_xlfn.TEXTSPLIT(_xlpm.h,",")),_xlpm.n,COLUMNS(_xlpm.p),_xlpm.z,INDEX(_xlpm.p,1,_xlpm.n),_xlpm.c,INDEX(_xlpm.p,1,_xlpm.n-2),_xlpm.s,INDEX(_xlpm.p,1,_xlpm.n-1),IF(_xlpm.n&lt;4,_xlpm.s,IF(RIGHT(_xlpm.z,2)="IE",_xlpm.s&amp;", "&amp;_xlfn.TEXTBEFORE(_xlpm.z," ",-1),IF(UPPER(LEFT(_xlpm.c,3))="BOX",_xlpm.s,_xlpm.c&amp;", "&amp;_xlpm.s)))),"")</f>
        <v>LAS VEGAS, NV</v>
      </c>
      <c r="G153" s="5" cm="1">
        <f t="array" aca="1" ref="G153" ca="1">_FV(D153,"price")</f>
        <v>1E-4</v>
      </c>
      <c r="H153" s="6" cm="1">
        <f t="array" aca="1" ref="H153" ca="1">_FV(D153,"Shares outstanding",TRUE)/1000</f>
        <v>370425.7</v>
      </c>
      <c r="I153" s="7">
        <f t="shared" ca="1" si="2"/>
        <v>37.042570000000005</v>
      </c>
    </row>
    <row r="154" spans="2:9" x14ac:dyDescent="0.2">
      <c r="B154" s="1" t="s">
        <v>310</v>
      </c>
      <c r="C154" s="2" t="s">
        <v>311</v>
      </c>
      <c r="D154" s="4" t="e" vm="150">
        <v>#VALUE!</v>
      </c>
      <c r="E154" s="1" t="str" cm="1">
        <f t="array" aca="1" ref="E154" ca="1">_FV(D154,"Industry")</f>
        <v>Automobiles &amp; Auto Parts</v>
      </c>
      <c r="F154" t="str" cm="1">
        <f t="array" aca="1" ref="F154" ca="1">IFERROR(_xlfn.LET(_xlpm.h,_FV(D154,"Headquarters"),_xlpm.p,TRIM(_xlfn.TEXTSPLIT(_xlpm.h,",")),_xlpm.n,COLUMNS(_xlpm.p),_xlpm.z,INDEX(_xlpm.p,1,_xlpm.n),_xlpm.c,INDEX(_xlpm.p,1,_xlpm.n-2),_xlpm.s,INDEX(_xlpm.p,1,_xlpm.n-1),IF(_xlpm.n&lt;4,_xlpm.s,IF(RIGHT(_xlpm.z,2)="IE",_xlpm.s&amp;", "&amp;_xlfn.TEXTBEFORE(_xlpm.z," ",-1),IF(UPPER(LEFT(_xlpm.c,3))="BOX",_xlpm.s,_xlpm.c&amp;", "&amp;_xlpm.s)))),"")</f>
        <v>NORTH READING, MA</v>
      </c>
      <c r="G154" s="5" cm="1">
        <f t="array" aca="1" ref="G154" ca="1">_FV(D154,"price")</f>
        <v>2.2000000000000001E-3</v>
      </c>
      <c r="H154" s="6" cm="1">
        <f t="array" aca="1" ref="H154" ca="1">_FV(D154,"Shares outstanding",TRUE)/1000</f>
        <v>1997483</v>
      </c>
      <c r="I154" s="7">
        <f t="shared" ca="1" si="2"/>
        <v>4394.4625999999998</v>
      </c>
    </row>
    <row r="155" spans="2:9" x14ac:dyDescent="0.2">
      <c r="B155" s="1" t="s">
        <v>312</v>
      </c>
      <c r="C155" s="2" t="s">
        <v>313</v>
      </c>
      <c r="D155" s="4" t="e" vm="151">
        <v>#VALUE!</v>
      </c>
      <c r="E155" s="1" t="str" cm="1">
        <f t="array" aca="1" ref="E155" ca="1">_FV(D155,"Industry")</f>
        <v>Textiles &amp; Apparel</v>
      </c>
      <c r="F155" t="str" cm="1">
        <f t="array" aca="1" ref="F155" ca="1">IFERROR(_xlfn.LET(_xlpm.h,_FV(D155,"Headquarters"),_xlpm.p,TRIM(_xlfn.TEXTSPLIT(_xlpm.h,",")),_xlpm.n,COLUMNS(_xlpm.p),_xlpm.z,INDEX(_xlpm.p,1,_xlpm.n),_xlpm.c,INDEX(_xlpm.p,1,_xlpm.n-2),_xlpm.s,INDEX(_xlpm.p,1,_xlpm.n-1),IF(_xlpm.n&lt;4,_xlpm.s,IF(RIGHT(_xlpm.z,2)="IE",_xlpm.s&amp;", "&amp;_xlfn.TEXTBEFORE(_xlpm.z," ",-1),IF(UPPER(LEFT(_xlpm.c,3))="BOX",_xlpm.s,_xlpm.c&amp;", "&amp;_xlpm.s)))),"")</f>
        <v>NEW BRAUNFELS, TX</v>
      </c>
      <c r="G155" s="5" cm="1">
        <f t="array" aca="1" ref="G155" ca="1">_FV(D155,"price")</f>
        <v>0.81</v>
      </c>
      <c r="H155" s="6" cm="1">
        <f t="array" aca="1" ref="H155" ca="1">_FV(D155,"Shares outstanding",TRUE)/1000</f>
        <v>7474.26</v>
      </c>
      <c r="I155" s="7">
        <f t="shared" ca="1" si="2"/>
        <v>6054.1506000000008</v>
      </c>
    </row>
    <row r="156" spans="2:9" x14ac:dyDescent="0.2">
      <c r="B156" s="1" t="s">
        <v>314</v>
      </c>
      <c r="C156" s="2" t="s">
        <v>315</v>
      </c>
      <c r="D156" s="4" t="e" vm="152">
        <v>#VALUE!</v>
      </c>
      <c r="E156" s="1"/>
      <c r="F156" t="str" cm="1">
        <f t="array" aca="1" ref="F156" ca="1">IFERROR(_xlfn.LET(_xlpm.h,_FV(D156,"Headquarters"),_xlpm.p,TRIM(_xlfn.TEXTSPLIT(_xlpm.h,",")),_xlpm.n,COLUMNS(_xlpm.p),_xlpm.z,INDEX(_xlpm.p,1,_xlpm.n),_xlpm.c,INDEX(_xlpm.p,1,_xlpm.n-2),_xlpm.s,INDEX(_xlpm.p,1,_xlpm.n-1),IF(_xlpm.n&lt;4,_xlpm.s,IF(RIGHT(_xlpm.z,2)="IE",_xlpm.s&amp;", "&amp;_xlfn.TEXTBEFORE(_xlpm.z," ",-1),IF(UPPER(LEFT(_xlpm.c,3))="BOX",_xlpm.s,_xlpm.c&amp;", "&amp;_xlpm.s)))),"")</f>
        <v>SPRING, TX</v>
      </c>
      <c r="G156" s="5" cm="1">
        <f t="array" aca="1" ref="G156" ca="1">_FV(D156,"price")</f>
        <v>1E-4</v>
      </c>
      <c r="H156" s="6"/>
      <c r="I156" s="7"/>
    </row>
    <row r="157" spans="2:9" x14ac:dyDescent="0.2">
      <c r="B157" s="1" t="s">
        <v>316</v>
      </c>
      <c r="C157" s="2" t="s">
        <v>317</v>
      </c>
      <c r="D157" s="4" t="e" vm="153">
        <v>#VALUE!</v>
      </c>
      <c r="E157" s="1" t="str" cm="1">
        <f t="array" aca="1" ref="E157" ca="1">_FV(D157,"Industry")</f>
        <v>Textiles &amp; Apparel</v>
      </c>
      <c r="F157" t="str" cm="1">
        <f t="array" aca="1" ref="F157" ca="1">IFERROR(_xlfn.LET(_xlpm.h,_FV(D157,"Headquarters"),_xlpm.p,TRIM(_xlfn.TEXTSPLIT(_xlpm.h,",")),_xlpm.n,COLUMNS(_xlpm.p),_xlpm.z,INDEX(_xlpm.p,1,_xlpm.n),_xlpm.c,INDEX(_xlpm.p,1,_xlpm.n-2),_xlpm.s,INDEX(_xlpm.p,1,_xlpm.n-1),IF(_xlpm.n&lt;4,_xlpm.s,IF(RIGHT(_xlpm.z,2)="IE",_xlpm.s&amp;", "&amp;_xlfn.TEXTBEFORE(_xlpm.z," ",-1),IF(UPPER(LEFT(_xlpm.c,3))="BOX",_xlpm.s,_xlpm.c&amp;", "&amp;_xlpm.s)))),"")</f>
        <v>NV</v>
      </c>
      <c r="G157" s="5" cm="1">
        <f t="array" aca="1" ref="G157" ca="1">_FV(D157,"price")</f>
        <v>9.9999999999999995E-7</v>
      </c>
      <c r="H157" s="6" cm="1">
        <f t="array" aca="1" ref="H157" ca="1">_FV(D157,"Shares outstanding",TRUE)/1000</f>
        <v>26236410</v>
      </c>
      <c r="I157" s="7">
        <f t="shared" ca="1" si="2"/>
        <v>26.236409999999999</v>
      </c>
    </row>
    <row r="158" spans="2:9" x14ac:dyDescent="0.2">
      <c r="B158" s="1" t="s">
        <v>318</v>
      </c>
      <c r="C158" s="2" t="s">
        <v>319</v>
      </c>
      <c r="D158" s="4" t="e" vm="154">
        <v>#VALUE!</v>
      </c>
      <c r="E158" s="1" t="str" cm="1">
        <f t="array" aca="1" ref="E158" ca="1">_FV(D158,"Industry")</f>
        <v>Automobiles &amp; Auto Parts</v>
      </c>
      <c r="F158" t="str" cm="1">
        <f t="array" aca="1" ref="F158" ca="1">IFERROR(_xlfn.LET(_xlpm.h,_FV(D158,"Headquarters"),_xlpm.p,TRIM(_xlfn.TEXTSPLIT(_xlpm.h,",")),_xlpm.n,COLUMNS(_xlpm.p),_xlpm.z,INDEX(_xlpm.p,1,_xlpm.n),_xlpm.c,INDEX(_xlpm.p,1,_xlpm.n-2),_xlpm.s,INDEX(_xlpm.p,1,_xlpm.n-1),IF(_xlpm.n&lt;4,_xlpm.s,IF(RIGHT(_xlpm.z,2)="IE",_xlpm.s&amp;", "&amp;_xlfn.TEXTBEFORE(_xlpm.z," ",-1),IF(UPPER(LEFT(_xlpm.c,3))="BOX",_xlpm.s,_xlpm.c&amp;", "&amp;_xlpm.s)))),"")</f>
        <v>AUSTIN, TX</v>
      </c>
      <c r="G158" s="5" cm="1">
        <f t="array" aca="1" ref="G158" ca="1">_FV(D158,"price")</f>
        <v>380.12</v>
      </c>
      <c r="H158" s="6" cm="1">
        <f t="array" aca="1" ref="H158" ca="1">_FV(D158,"Shares outstanding",TRUE)/1000</f>
        <v>3949547</v>
      </c>
      <c r="I158" s="7">
        <f t="shared" ca="1" si="2"/>
        <v>1501301805.6400001</v>
      </c>
    </row>
    <row r="159" spans="2:9" x14ac:dyDescent="0.2">
      <c r="B159" s="1" t="s">
        <v>320</v>
      </c>
      <c r="C159" s="2" t="s">
        <v>321</v>
      </c>
      <c r="D159" s="4" t="e" vm="155">
        <v>#VALUE!</v>
      </c>
      <c r="E159" s="1" t="str" cm="1">
        <f t="array" aca="1" ref="E159" ca="1">_FV(D159,"Industry")</f>
        <v>Telecommunications Services</v>
      </c>
      <c r="F159" t="str" cm="1">
        <f t="array" aca="1" ref="F159" ca="1">IFERROR(_xlfn.LET(_xlpm.h,_FV(D159,"Headquarters"),_xlpm.p,TRIM(_xlfn.TEXTSPLIT(_xlpm.h,",")),_xlpm.n,COLUMNS(_xlpm.p),_xlpm.z,INDEX(_xlpm.p,1,_xlpm.n),_xlpm.c,INDEX(_xlpm.p,1,_xlpm.n-2),_xlpm.s,INDEX(_xlpm.p,1,_xlpm.n-1),IF(_xlpm.n&lt;4,_xlpm.s,IF(RIGHT(_xlpm.z,2)="IE",_xlpm.s&amp;", "&amp;_xlfn.TEXTBEFORE(_xlpm.z," ",-1),IF(UPPER(LEFT(_xlpm.c,3))="BOX",_xlpm.s,_xlpm.c&amp;", "&amp;_xlpm.s)))),"")</f>
        <v>Starbase, TX</v>
      </c>
      <c r="G159" s="5" cm="1">
        <f t="array" aca="1" ref="G159" ca="1">_FV(D159,"price")</f>
        <v>148.36000000000001</v>
      </c>
      <c r="H159" s="6" cm="1">
        <f t="array" aca="1" ref="H159" ca="1">_FV(D159,"Shares outstanding",TRUE)/1000</f>
        <v>13572820</v>
      </c>
      <c r="I159" s="7">
        <f t="shared" ca="1" si="2"/>
        <v>2013663575.2000003</v>
      </c>
    </row>
    <row r="160" spans="2:9" x14ac:dyDescent="0.2">
      <c r="B160" s="1" t="s">
        <v>322</v>
      </c>
      <c r="C160" s="2" t="s">
        <v>323</v>
      </c>
      <c r="D160" s="4" t="e" vm="156">
        <v>#VALUE!</v>
      </c>
      <c r="E160" s="1" t="str" cm="1">
        <f t="array" aca="1" ref="E160" ca="1">_FV(D160,"Industry")</f>
        <v>Residential &amp; Commercial REIT</v>
      </c>
      <c r="F160" t="str" cm="1">
        <f t="array" aca="1" ref="F160" ca="1">IFERROR(_xlfn.LET(_xlpm.h,_FV(D160,"Headquarters"),_xlpm.p,TRIM(_xlfn.TEXTSPLIT(_xlpm.h,",")),_xlpm.n,COLUMNS(_xlpm.p),_xlpm.z,INDEX(_xlpm.p,1,_xlpm.n),_xlpm.c,INDEX(_xlpm.p,1,_xlpm.n-2),_xlpm.s,INDEX(_xlpm.p,1,_xlpm.n-1),IF(_xlpm.n&lt;4,_xlpm.s,IF(RIGHT(_xlpm.z,2)="IE",_xlpm.s&amp;", "&amp;_xlfn.TEXTBEFORE(_xlpm.z," ",-1),IF(UPPER(LEFT(_xlpm.c,3))="BOX",_xlpm.s,_xlpm.c&amp;", "&amp;_xlpm.s)))),"")</f>
        <v>DALLAS, TX</v>
      </c>
      <c r="G160" s="5" cm="1">
        <f t="array" aca="1" ref="G160" ca="1">_FV(D160,"price")</f>
        <v>181.45</v>
      </c>
      <c r="H160" s="6" cm="1">
        <f t="array" aca="1" ref="H160" ca="1">_FV(D160,"Shares outstanding",TRUE)/1000</f>
        <v>370998.7</v>
      </c>
      <c r="I160" s="7">
        <f t="shared" ca="1" si="2"/>
        <v>67317714.114999995</v>
      </c>
    </row>
    <row r="161" spans="2:9" x14ac:dyDescent="0.2">
      <c r="B161" s="1" t="s">
        <v>324</v>
      </c>
      <c r="C161" s="2" t="s">
        <v>325</v>
      </c>
      <c r="D161" s="4" t="e" vm="157">
        <v>#VALUE!</v>
      </c>
      <c r="E161" s="1" t="str" cm="1">
        <f t="array" aca="1" ref="E161" ca="1">_FV(D161,"Industry")</f>
        <v>Residential &amp; Commercial REIT</v>
      </c>
      <c r="F161" t="str" cm="1">
        <f t="array" aca="1" ref="F161" ca="1">IFERROR(_xlfn.LET(_xlpm.h,_FV(D161,"Headquarters"),_xlpm.p,TRIM(_xlfn.TEXTSPLIT(_xlpm.h,",")),_xlpm.n,COLUMNS(_xlpm.p),_xlpm.z,INDEX(_xlpm.p,1,_xlpm.n),_xlpm.c,INDEX(_xlpm.p,1,_xlpm.n-2),_xlpm.s,INDEX(_xlpm.p,1,_xlpm.n-1),IF(_xlpm.n&lt;4,_xlpm.s,IF(RIGHT(_xlpm.z,2)="IE",_xlpm.s&amp;", "&amp;_xlfn.TEXTBEFORE(_xlpm.z," ",-1),IF(UPPER(LEFT(_xlpm.c,3))="BOX",_xlpm.s,_xlpm.c&amp;", "&amp;_xlpm.s)))),"")</f>
        <v>REDWOOD CITY, CA</v>
      </c>
      <c r="G161" s="5" cm="1">
        <f t="array" aca="1" ref="G161" ca="1">_FV(D161,"price")</f>
        <v>1037.6600000000001</v>
      </c>
      <c r="H161" s="6" cm="1">
        <f t="array" aca="1" ref="H161" ca="1">_FV(D161,"Shares outstanding",TRUE)/1000</f>
        <v>98671.69</v>
      </c>
      <c r="I161" s="7">
        <f t="shared" ca="1" si="2"/>
        <v>102387665.84540001</v>
      </c>
    </row>
    <row r="162" spans="2:9" x14ac:dyDescent="0.2">
      <c r="B162" s="1" t="s">
        <v>326</v>
      </c>
      <c r="C162" s="2" t="s">
        <v>327</v>
      </c>
      <c r="D162" s="4" t="e" vm="158">
        <v>#VALUE!</v>
      </c>
      <c r="E162" s="1" t="str" cm="1">
        <f t="array" aca="1" ref="E162" ca="1">_FV(D162,"Industry")</f>
        <v>Software &amp; IT Services</v>
      </c>
      <c r="F162" t="str" cm="1">
        <f t="array" aca="1" ref="F162" ca="1">IFERROR(_xlfn.LET(_xlpm.h,_FV(D162,"Headquarters"),_xlpm.p,TRIM(_xlfn.TEXTSPLIT(_xlpm.h,",")),_xlpm.n,COLUMNS(_xlpm.p),_xlpm.z,INDEX(_xlpm.p,1,_xlpm.n),_xlpm.c,INDEX(_xlpm.p,1,_xlpm.n-2),_xlpm.s,INDEX(_xlpm.p,1,_xlpm.n-1),IF(_xlpm.n&lt;4,_xlpm.s,IF(RIGHT(_xlpm.z,2)="IE",_xlpm.s&amp;", "&amp;_xlfn.TEXTBEFORE(_xlpm.z," ",-1),IF(UPPER(LEFT(_xlpm.c,3))="BOX",_xlpm.s,_xlpm.c&amp;", "&amp;_xlpm.s)))),"")</f>
        <v>LIVINGSTON, NJ</v>
      </c>
      <c r="G162" s="5" cm="1">
        <f t="array" aca="1" ref="G162" ca="1">_FV(D162,"price")</f>
        <v>86.9</v>
      </c>
      <c r="H162" s="6" cm="1">
        <f t="array" aca="1" ref="H162" ca="1">_FV(D162,"Shares outstanding",TRUE)/1000</f>
        <v>551536.6</v>
      </c>
      <c r="I162" s="7">
        <f t="shared" ca="1" si="2"/>
        <v>47928530.539999999</v>
      </c>
    </row>
    <row r="163" spans="2:9" x14ac:dyDescent="0.2">
      <c r="B163" s="1" t="s">
        <v>328</v>
      </c>
      <c r="C163" s="2" t="s">
        <v>329</v>
      </c>
      <c r="D163" s="4" t="e" vm="159">
        <v>#VALUE!</v>
      </c>
      <c r="E163" s="1" t="str" cm="1">
        <f t="array" aca="1" ref="E163" ca="1">_FV(D163,"Industry")</f>
        <v>Electrical Utilities &amp; IPPs</v>
      </c>
      <c r="F163" t="str" cm="1">
        <f t="array" aca="1" ref="F163" ca="1">IFERROR(_xlfn.LET(_xlpm.h,_FV(D163,"Headquarters"),_xlpm.p,TRIM(_xlfn.TEXTSPLIT(_xlpm.h,",")),_xlpm.n,COLUMNS(_xlpm.p),_xlpm.z,INDEX(_xlpm.p,1,_xlpm.n),_xlpm.c,INDEX(_xlpm.p,1,_xlpm.n-2),_xlpm.s,INDEX(_xlpm.p,1,_xlpm.n-1),IF(_xlpm.n&lt;4,_xlpm.s,IF(RIGHT(_xlpm.z,2)="IE",_xlpm.s&amp;", "&amp;_xlfn.TEXTBEFORE(_xlpm.z," ",-1),IF(UPPER(LEFT(_xlpm.c,3))="BOX",_xlpm.s,_xlpm.c&amp;", "&amp;_xlpm.s)))),"")</f>
        <v>SANTA CLARA, CA</v>
      </c>
      <c r="G163" s="5" cm="1">
        <f t="array" aca="1" ref="G163" ca="1">_FV(D163,"price")</f>
        <v>38.82</v>
      </c>
      <c r="H163" s="6" cm="1">
        <f t="array" aca="1" ref="H163" ca="1">_FV(D163,"Shares outstanding",TRUE)/1000</f>
        <v>186017.7</v>
      </c>
      <c r="I163" s="7">
        <f t="shared" ca="1" si="2"/>
        <v>7221207.1140000001</v>
      </c>
    </row>
    <row r="164" spans="2:9" x14ac:dyDescent="0.2">
      <c r="B164" s="1" t="s">
        <v>330</v>
      </c>
      <c r="C164" s="2" t="s">
        <v>331</v>
      </c>
      <c r="D164" s="4" t="e" vm="160">
        <v>#VALUE!</v>
      </c>
      <c r="E164" s="1" t="str" cm="1">
        <f t="array" aca="1" ref="E164" ca="1">_FV(D164,"Industry")</f>
        <v>Machinery, Equipment &amp; Components</v>
      </c>
      <c r="F164" t="str" cm="1">
        <f t="array" aca="1" ref="F164" ca="1">IFERROR(_xlfn.LET(_xlpm.h,_FV(D164,"Headquarters"),_xlpm.p,TRIM(_xlfn.TEXTSPLIT(_xlpm.h,",")),_xlpm.n,COLUMNS(_xlpm.p),_xlpm.z,INDEX(_xlpm.p,1,_xlpm.n),_xlpm.c,INDEX(_xlpm.p,1,_xlpm.n-2),_xlpm.s,INDEX(_xlpm.p,1,_xlpm.n-1),IF(_xlpm.n&lt;4,_xlpm.s,IF(RIGHT(_xlpm.z,2)="IE",_xlpm.s&amp;", "&amp;_xlfn.TEXTBEFORE(_xlpm.z," ",-1),IF(UPPER(LEFT(_xlpm.c,3))="BOX",_xlpm.s,_xlpm.c&amp;", "&amp;_xlpm.s)))),"")</f>
        <v>DUBLIN, DUBLIN</v>
      </c>
      <c r="G164" s="5" cm="1">
        <f t="array" aca="1" ref="G164" ca="1">_FV(D164,"price")</f>
        <v>438.76</v>
      </c>
      <c r="H164" s="6" cm="1">
        <f t="array" aca="1" ref="H164" ca="1">_FV(D164,"Shares outstanding",TRUE)/1000</f>
        <v>388400</v>
      </c>
      <c r="I164" s="7">
        <f t="shared" ca="1" si="2"/>
        <v>170414384</v>
      </c>
    </row>
    <row r="165" spans="2:9" x14ac:dyDescent="0.2">
      <c r="B165" s="1" t="s">
        <v>332</v>
      </c>
      <c r="C165" s="2" t="s">
        <v>333</v>
      </c>
      <c r="D165" s="4" t="e" vm="161">
        <v>#VALUE!</v>
      </c>
      <c r="E165" s="1" t="str" cm="1">
        <f t="array" aca="1" ref="E165" ca="1">_FV(D165,"Industry")</f>
        <v>Machinery, Equipment &amp; Components</v>
      </c>
      <c r="F165" t="str" cm="1">
        <f t="array" aca="1" ref="F165" ca="1">IFERROR(_xlfn.LET(_xlpm.h,_FV(D165,"Headquarters"),_xlpm.p,TRIM(_xlfn.TEXTSPLIT(_xlpm.h,",")),_xlpm.n,COLUMNS(_xlpm.p),_xlpm.z,INDEX(_xlpm.p,1,_xlpm.n),_xlpm.c,INDEX(_xlpm.p,1,_xlpm.n-2),_xlpm.s,INDEX(_xlpm.p,1,_xlpm.n-1),IF(_xlpm.n&lt;4,_xlpm.s,IF(RIGHT(_xlpm.z,2)="IE",_xlpm.s&amp;", "&amp;_xlfn.TEXTBEFORE(_xlpm.z," ",-1),IF(UPPER(LEFT(_xlpm.c,3))="BOX",_xlpm.s,_xlpm.c&amp;", "&amp;_xlpm.s)))),"")</f>
        <v>RUEIL-MALMAISON, ILE-DE-FRANCE</v>
      </c>
      <c r="G165" s="5" cm="1">
        <f t="array" aca="1" ref="G165" ca="1">_FV(D165,"price")</f>
        <v>66.52</v>
      </c>
      <c r="H165" s="6" cm="1">
        <f t="array" aca="1" ref="H165" ca="1">_FV(D165,"Shares outstanding",TRUE)/1000</f>
        <v>578605.30000000005</v>
      </c>
      <c r="I165" s="7">
        <f t="shared" ca="1" si="2"/>
        <v>38488824.556000002</v>
      </c>
    </row>
    <row r="166" spans="2:9" x14ac:dyDescent="0.2">
      <c r="B166" s="1" t="s">
        <v>334</v>
      </c>
      <c r="C166" s="2" t="s">
        <v>335</v>
      </c>
      <c r="D166" s="4" t="e" vm="162">
        <v>#VALUE!</v>
      </c>
      <c r="E166" s="1" t="str" cm="1">
        <f t="array" aca="1" ref="E166" ca="1">_FV(D166,"Industry")</f>
        <v>Communications &amp; Networking</v>
      </c>
      <c r="F166" t="str" cm="1">
        <f t="array" aca="1" ref="F166" ca="1">IFERROR(_xlfn.LET(_xlpm.h,_FV(D166,"Headquarters"),_xlpm.p,TRIM(_xlfn.TEXTSPLIT(_xlpm.h,",")),_xlpm.n,COLUMNS(_xlpm.p),_xlpm.z,INDEX(_xlpm.p,1,_xlpm.n),_xlpm.c,INDEX(_xlpm.p,1,_xlpm.n-2),_xlpm.s,INDEX(_xlpm.p,1,_xlpm.n-1),IF(_xlpm.n&lt;4,_xlpm.s,IF(RIGHT(_xlpm.z,2)="IE",_xlpm.s&amp;", "&amp;_xlfn.TEXTBEFORE(_xlpm.z," ",-1),IF(UPPER(LEFT(_xlpm.c,3))="BOX",_xlpm.s,_xlpm.c&amp;", "&amp;_xlpm.s)))),"")</f>
        <v>SAN JOSE, CA</v>
      </c>
      <c r="G166" s="5" cm="1">
        <f t="array" aca="1" ref="G166" ca="1">_FV(D166,"price")</f>
        <v>106.43</v>
      </c>
      <c r="H166" s="6" cm="1">
        <f t="array" aca="1" ref="H166" ca="1">_FV(D166,"Shares outstanding",TRUE)/1000</f>
        <v>3942587</v>
      </c>
      <c r="I166" s="7">
        <f t="shared" ca="1" si="2"/>
        <v>419609534.41000003</v>
      </c>
    </row>
    <row r="167" spans="2:9" x14ac:dyDescent="0.2">
      <c r="B167" s="1" t="s">
        <v>336</v>
      </c>
      <c r="C167" s="2" t="s">
        <v>337</v>
      </c>
      <c r="D167" s="4" t="e" vm="163">
        <v>#VALUE!</v>
      </c>
      <c r="E167" s="1"/>
      <c r="F167" t="str" cm="1">
        <f t="array" aca="1" ref="F167" ca="1">IFERROR(_xlfn.LET(_xlpm.h,_FV(D167,"Headquarters"),_xlpm.p,TRIM(_xlfn.TEXTSPLIT(_xlpm.h,",")),_xlpm.n,COLUMNS(_xlpm.p),_xlpm.z,INDEX(_xlpm.p,1,_xlpm.n),_xlpm.c,INDEX(_xlpm.p,1,_xlpm.n-2),_xlpm.s,INDEX(_xlpm.p,1,_xlpm.n-1),IF(_xlpm.n&lt;4,_xlpm.s,IF(RIGHT(_xlpm.z,2)="IE",_xlpm.s&amp;", "&amp;_xlfn.TEXTBEFORE(_xlpm.z," ",-1),IF(UPPER(LEFT(_xlpm.c,3))="BOX",_xlpm.s,_xlpm.c&amp;", "&amp;_xlpm.s)))),"")</f>
        <v>SANTA CLARA, CA</v>
      </c>
      <c r="G167" s="5" cm="1">
        <f t="array" aca="1" ref="G167" ca="1">_FV(D167,"price")</f>
        <v>225.51</v>
      </c>
      <c r="H167" s="6" cm="1">
        <f t="array" aca="1" ref="H167" ca="1">_FV(D167,"Shares outstanding",TRUE)/1000</f>
        <v>24100000</v>
      </c>
      <c r="I167" s="7">
        <f t="shared" ref="I167" ca="1" si="3">G167*H167</f>
        <v>5434791000</v>
      </c>
    </row>
    <row r="168" spans="2:9" x14ac:dyDescent="0.2">
      <c r="B168" s="1" t="s">
        <v>338</v>
      </c>
      <c r="C168" s="2" t="s">
        <v>339</v>
      </c>
      <c r="D168" s="4" t="e" vm="164">
        <v>#VALUE!</v>
      </c>
      <c r="E168" s="1" t="str" cm="1">
        <f t="array" aca="1" ref="E168" ca="1">_FV(D168,"Industry")</f>
        <v>Renewable Energy</v>
      </c>
      <c r="F168" t="str" cm="1">
        <f t="array" aca="1" ref="F168" ca="1">IFERROR(_xlfn.LET(_xlpm.h,_FV(D168,"Headquarters"),_xlpm.p,TRIM(_xlfn.TEXTSPLIT(_xlpm.h,",")),_xlpm.n,COLUMNS(_xlpm.p),_xlpm.z,INDEX(_xlpm.p,1,_xlpm.n),_xlpm.c,INDEX(_xlpm.p,1,_xlpm.n-2),_xlpm.s,INDEX(_xlpm.p,1,_xlpm.n-1),IF(_xlpm.n&lt;4,_xlpm.s,IF(RIGHT(_xlpm.z,2)="IE",_xlpm.s&amp;", "&amp;_xlfn.TEXTBEFORE(_xlpm.z," ",-1),IF(UPPER(LEFT(_xlpm.c,3))="BOX",_xlpm.s,_xlpm.c&amp;", "&amp;_xlpm.s)))),"")</f>
        <v>PHOENIX, AZ</v>
      </c>
      <c r="G168" s="5" cm="1">
        <f t="array" aca="1" ref="G168" ca="1">_FV(D168,"price")</f>
        <v>191.97</v>
      </c>
      <c r="H168" s="6" cm="1">
        <f t="array" aca="1" ref="H168" ca="1">_FV(D168,"Shares outstanding",TRUE)/1000</f>
        <v>107469.8</v>
      </c>
      <c r="I168" s="7">
        <f t="shared" ca="1" si="2"/>
        <v>20630977.506000001</v>
      </c>
    </row>
  </sheetData>
  <hyperlinks>
    <hyperlink ref="C3" r:id="rId1" xr:uid="{00000000-0004-0000-0000-000000000000}"/>
    <hyperlink ref="C4" r:id="rId2" xr:uid="{00000000-0004-0000-0000-000001000000}"/>
    <hyperlink ref="C5" r:id="rId3" xr:uid="{00000000-0004-0000-0000-000002000000}"/>
    <hyperlink ref="C6" r:id="rId4" xr:uid="{00000000-0004-0000-0000-000003000000}"/>
    <hyperlink ref="C7" r:id="rId5" xr:uid="{00000000-0004-0000-0000-000004000000}"/>
    <hyperlink ref="C8" r:id="rId6" xr:uid="{00000000-0004-0000-0000-000005000000}"/>
    <hyperlink ref="C9" r:id="rId7" xr:uid="{00000000-0004-0000-0000-000006000000}"/>
    <hyperlink ref="C10" r:id="rId8" xr:uid="{00000000-0004-0000-0000-000007000000}"/>
    <hyperlink ref="C11" r:id="rId9" xr:uid="{00000000-0004-0000-0000-000008000000}"/>
    <hyperlink ref="C12" r:id="rId10" xr:uid="{00000000-0004-0000-0000-000009000000}"/>
    <hyperlink ref="C13" r:id="rId11" xr:uid="{00000000-0004-0000-0000-00000A000000}"/>
    <hyperlink ref="C14" r:id="rId12" xr:uid="{00000000-0004-0000-0000-00000B000000}"/>
    <hyperlink ref="C15" r:id="rId13" xr:uid="{00000000-0004-0000-0000-00000C000000}"/>
    <hyperlink ref="C16" r:id="rId14" xr:uid="{00000000-0004-0000-0000-00000D000000}"/>
    <hyperlink ref="C17" r:id="rId15" xr:uid="{00000000-0004-0000-0000-00000E000000}"/>
    <hyperlink ref="C18" r:id="rId16" xr:uid="{00000000-0004-0000-0000-00000F000000}"/>
    <hyperlink ref="C19" r:id="rId17" xr:uid="{00000000-0004-0000-0000-000010000000}"/>
    <hyperlink ref="C20" r:id="rId18" xr:uid="{00000000-0004-0000-0000-000011000000}"/>
    <hyperlink ref="C21" r:id="rId19" xr:uid="{00000000-0004-0000-0000-000012000000}"/>
    <hyperlink ref="C22" r:id="rId20" xr:uid="{00000000-0004-0000-0000-000013000000}"/>
    <hyperlink ref="C23" r:id="rId21" xr:uid="{00000000-0004-0000-0000-000014000000}"/>
    <hyperlink ref="C24" r:id="rId22" xr:uid="{00000000-0004-0000-0000-000015000000}"/>
    <hyperlink ref="C25" r:id="rId23" xr:uid="{00000000-0004-0000-0000-000016000000}"/>
    <hyperlink ref="C26" r:id="rId24" xr:uid="{00000000-0004-0000-0000-000017000000}"/>
    <hyperlink ref="C27" r:id="rId25" xr:uid="{00000000-0004-0000-0000-000018000000}"/>
    <hyperlink ref="C28" r:id="rId26" xr:uid="{00000000-0004-0000-0000-000019000000}"/>
    <hyperlink ref="C29" r:id="rId27" xr:uid="{00000000-0004-0000-0000-00001A000000}"/>
    <hyperlink ref="C30" r:id="rId28" xr:uid="{00000000-0004-0000-0000-00001B000000}"/>
    <hyperlink ref="C31" r:id="rId29" xr:uid="{00000000-0004-0000-0000-00001C000000}"/>
    <hyperlink ref="C32" r:id="rId30" xr:uid="{00000000-0004-0000-0000-00001D000000}"/>
    <hyperlink ref="C33" r:id="rId31" xr:uid="{00000000-0004-0000-0000-00001E000000}"/>
    <hyperlink ref="C34" r:id="rId32" xr:uid="{00000000-0004-0000-0000-00001F000000}"/>
    <hyperlink ref="C35" r:id="rId33" xr:uid="{00000000-0004-0000-0000-000020000000}"/>
    <hyperlink ref="C36" r:id="rId34" xr:uid="{00000000-0004-0000-0000-000021000000}"/>
    <hyperlink ref="C37" r:id="rId35" xr:uid="{00000000-0004-0000-0000-000022000000}"/>
    <hyperlink ref="C38" r:id="rId36" xr:uid="{00000000-0004-0000-0000-000023000000}"/>
    <hyperlink ref="C39" r:id="rId37" xr:uid="{00000000-0004-0000-0000-000024000000}"/>
    <hyperlink ref="C40" r:id="rId38" xr:uid="{00000000-0004-0000-0000-000025000000}"/>
    <hyperlink ref="C41" r:id="rId39" xr:uid="{00000000-0004-0000-0000-000026000000}"/>
    <hyperlink ref="C42" r:id="rId40" xr:uid="{00000000-0004-0000-0000-000027000000}"/>
    <hyperlink ref="C43" r:id="rId41" xr:uid="{00000000-0004-0000-0000-000028000000}"/>
    <hyperlink ref="C44" r:id="rId42" xr:uid="{00000000-0004-0000-0000-000029000000}"/>
    <hyperlink ref="C45" r:id="rId43" xr:uid="{00000000-0004-0000-0000-00002A000000}"/>
    <hyperlink ref="C46" r:id="rId44" xr:uid="{00000000-0004-0000-0000-00002B000000}"/>
    <hyperlink ref="C47" r:id="rId45" xr:uid="{00000000-0004-0000-0000-00002C000000}"/>
    <hyperlink ref="C48" r:id="rId46" xr:uid="{00000000-0004-0000-0000-00002D000000}"/>
    <hyperlink ref="C49" r:id="rId47" xr:uid="{00000000-0004-0000-0000-00002E000000}"/>
    <hyperlink ref="C50" r:id="rId48" xr:uid="{00000000-0004-0000-0000-00002F000000}"/>
    <hyperlink ref="C51" r:id="rId49" xr:uid="{00000000-0004-0000-0000-000030000000}"/>
    <hyperlink ref="C52" r:id="rId50" xr:uid="{00000000-0004-0000-0000-000031000000}"/>
    <hyperlink ref="C53" r:id="rId51" xr:uid="{00000000-0004-0000-0000-000032000000}"/>
    <hyperlink ref="C54" r:id="rId52" xr:uid="{00000000-0004-0000-0000-000033000000}"/>
    <hyperlink ref="C55" r:id="rId53" xr:uid="{00000000-0004-0000-0000-000034000000}"/>
    <hyperlink ref="C56" r:id="rId54" xr:uid="{00000000-0004-0000-0000-000035000000}"/>
    <hyperlink ref="C57" r:id="rId55" xr:uid="{00000000-0004-0000-0000-000036000000}"/>
    <hyperlink ref="C58" r:id="rId56" xr:uid="{00000000-0004-0000-0000-000037000000}"/>
    <hyperlink ref="C59" r:id="rId57" xr:uid="{00000000-0004-0000-0000-000038000000}"/>
    <hyperlink ref="C60" r:id="rId58" xr:uid="{00000000-0004-0000-0000-000039000000}"/>
    <hyperlink ref="C61" r:id="rId59" xr:uid="{00000000-0004-0000-0000-00003A000000}"/>
    <hyperlink ref="C62" r:id="rId60" xr:uid="{00000000-0004-0000-0000-00003B000000}"/>
    <hyperlink ref="C63" r:id="rId61" xr:uid="{00000000-0004-0000-0000-00003C000000}"/>
    <hyperlink ref="C64" r:id="rId62" xr:uid="{00000000-0004-0000-0000-00003D000000}"/>
    <hyperlink ref="C65" r:id="rId63" xr:uid="{00000000-0004-0000-0000-00003E000000}"/>
    <hyperlink ref="C66" r:id="rId64" xr:uid="{00000000-0004-0000-0000-00003F000000}"/>
    <hyperlink ref="C67" r:id="rId65" xr:uid="{00000000-0004-0000-0000-000040000000}"/>
    <hyperlink ref="C68" r:id="rId66" xr:uid="{00000000-0004-0000-0000-000041000000}"/>
    <hyperlink ref="C69" r:id="rId67" xr:uid="{00000000-0004-0000-0000-000042000000}"/>
    <hyperlink ref="C70" r:id="rId68" xr:uid="{00000000-0004-0000-0000-000043000000}"/>
    <hyperlink ref="C71" r:id="rId69" xr:uid="{00000000-0004-0000-0000-000044000000}"/>
    <hyperlink ref="C72" r:id="rId70" xr:uid="{00000000-0004-0000-0000-000045000000}"/>
    <hyperlink ref="C73" r:id="rId71" xr:uid="{00000000-0004-0000-0000-000046000000}"/>
    <hyperlink ref="C74" r:id="rId72" xr:uid="{00000000-0004-0000-0000-000047000000}"/>
    <hyperlink ref="C75" r:id="rId73" xr:uid="{00000000-0004-0000-0000-000048000000}"/>
    <hyperlink ref="C76" r:id="rId74" xr:uid="{00000000-0004-0000-0000-000049000000}"/>
    <hyperlink ref="C77" r:id="rId75" xr:uid="{00000000-0004-0000-0000-00004A000000}"/>
    <hyperlink ref="C78" r:id="rId76" xr:uid="{00000000-0004-0000-0000-00004B000000}"/>
    <hyperlink ref="C79" r:id="rId77" xr:uid="{00000000-0004-0000-0000-00004C000000}"/>
    <hyperlink ref="C80" r:id="rId78" xr:uid="{00000000-0004-0000-0000-00004D000000}"/>
    <hyperlink ref="C81" r:id="rId79" xr:uid="{00000000-0004-0000-0000-00004E000000}"/>
    <hyperlink ref="C82" r:id="rId80" xr:uid="{00000000-0004-0000-0000-00004F000000}"/>
    <hyperlink ref="C83" r:id="rId81" xr:uid="{00000000-0004-0000-0000-000050000000}"/>
    <hyperlink ref="C84" r:id="rId82" xr:uid="{00000000-0004-0000-0000-000051000000}"/>
    <hyperlink ref="C85" r:id="rId83" xr:uid="{00000000-0004-0000-0000-000052000000}"/>
    <hyperlink ref="C86" r:id="rId84" xr:uid="{00000000-0004-0000-0000-000053000000}"/>
    <hyperlink ref="C87" r:id="rId85" xr:uid="{00000000-0004-0000-0000-000054000000}"/>
    <hyperlink ref="C88" r:id="rId86" xr:uid="{00000000-0004-0000-0000-000055000000}"/>
    <hyperlink ref="C89" r:id="rId87" xr:uid="{00000000-0004-0000-0000-000056000000}"/>
    <hyperlink ref="C90" r:id="rId88" xr:uid="{00000000-0004-0000-0000-000057000000}"/>
    <hyperlink ref="C91" r:id="rId89" xr:uid="{00000000-0004-0000-0000-000058000000}"/>
    <hyperlink ref="C92" r:id="rId90" xr:uid="{00000000-0004-0000-0000-000059000000}"/>
    <hyperlink ref="C93" r:id="rId91" xr:uid="{00000000-0004-0000-0000-00005A000000}"/>
    <hyperlink ref="C94" r:id="rId92" xr:uid="{00000000-0004-0000-0000-00005B000000}"/>
    <hyperlink ref="C95" r:id="rId93" xr:uid="{00000000-0004-0000-0000-00005C000000}"/>
    <hyperlink ref="C96" r:id="rId94" xr:uid="{00000000-0004-0000-0000-00005D000000}"/>
    <hyperlink ref="C97" r:id="rId95" xr:uid="{00000000-0004-0000-0000-00005E000000}"/>
    <hyperlink ref="C98" r:id="rId96" xr:uid="{00000000-0004-0000-0000-00005F000000}"/>
    <hyperlink ref="C99" r:id="rId97" xr:uid="{00000000-0004-0000-0000-000060000000}"/>
    <hyperlink ref="C100" r:id="rId98" xr:uid="{00000000-0004-0000-0000-000061000000}"/>
    <hyperlink ref="C101" r:id="rId99" xr:uid="{00000000-0004-0000-0000-000062000000}"/>
    <hyperlink ref="C102" r:id="rId100" xr:uid="{00000000-0004-0000-0000-000063000000}"/>
    <hyperlink ref="C103" r:id="rId101" xr:uid="{00000000-0004-0000-0000-000064000000}"/>
    <hyperlink ref="C104" r:id="rId102" xr:uid="{00000000-0004-0000-0000-000065000000}"/>
    <hyperlink ref="C105" r:id="rId103" xr:uid="{00000000-0004-0000-0000-000066000000}"/>
    <hyperlink ref="C106" r:id="rId104" xr:uid="{00000000-0004-0000-0000-000067000000}"/>
    <hyperlink ref="C107" r:id="rId105" xr:uid="{00000000-0004-0000-0000-000068000000}"/>
    <hyperlink ref="C108" r:id="rId106" xr:uid="{00000000-0004-0000-0000-000069000000}"/>
    <hyperlink ref="C109" r:id="rId107" xr:uid="{00000000-0004-0000-0000-00006A000000}"/>
    <hyperlink ref="C110" r:id="rId108" xr:uid="{00000000-0004-0000-0000-00006B000000}"/>
    <hyperlink ref="C111" r:id="rId109" xr:uid="{00000000-0004-0000-0000-00006C000000}"/>
    <hyperlink ref="C112" r:id="rId110" xr:uid="{00000000-0004-0000-0000-00006D000000}"/>
    <hyperlink ref="C113" r:id="rId111" xr:uid="{00000000-0004-0000-0000-00006E000000}"/>
    <hyperlink ref="C114" r:id="rId112" xr:uid="{00000000-0004-0000-0000-00006F000000}"/>
    <hyperlink ref="C115" r:id="rId113" xr:uid="{00000000-0004-0000-0000-000070000000}"/>
    <hyperlink ref="C116" r:id="rId114" xr:uid="{00000000-0004-0000-0000-000071000000}"/>
    <hyperlink ref="C117" r:id="rId115" xr:uid="{00000000-0004-0000-0000-000072000000}"/>
    <hyperlink ref="C118" r:id="rId116" xr:uid="{00000000-0004-0000-0000-000073000000}"/>
    <hyperlink ref="C119" r:id="rId117" xr:uid="{00000000-0004-0000-0000-000074000000}"/>
    <hyperlink ref="C120" r:id="rId118" xr:uid="{00000000-0004-0000-0000-000075000000}"/>
    <hyperlink ref="C121" r:id="rId119" xr:uid="{00000000-0004-0000-0000-000076000000}"/>
    <hyperlink ref="C122" r:id="rId120" xr:uid="{00000000-0004-0000-0000-000077000000}"/>
    <hyperlink ref="C123" r:id="rId121" xr:uid="{00000000-0004-0000-0000-000078000000}"/>
    <hyperlink ref="C124" r:id="rId122" xr:uid="{00000000-0004-0000-0000-000079000000}"/>
    <hyperlink ref="C125" r:id="rId123" xr:uid="{00000000-0004-0000-0000-00007A000000}"/>
    <hyperlink ref="C126" r:id="rId124" xr:uid="{00000000-0004-0000-0000-00007B000000}"/>
    <hyperlink ref="C127" r:id="rId125" xr:uid="{00000000-0004-0000-0000-00007C000000}"/>
    <hyperlink ref="C128" r:id="rId126" xr:uid="{00000000-0004-0000-0000-00007D000000}"/>
    <hyperlink ref="C129" r:id="rId127" xr:uid="{00000000-0004-0000-0000-00007E000000}"/>
    <hyperlink ref="C130" r:id="rId128" xr:uid="{00000000-0004-0000-0000-00007F000000}"/>
    <hyperlink ref="C131" r:id="rId129" xr:uid="{00000000-0004-0000-0000-000080000000}"/>
    <hyperlink ref="C132" r:id="rId130" xr:uid="{00000000-0004-0000-0000-000081000000}"/>
    <hyperlink ref="C133" r:id="rId131" xr:uid="{00000000-0004-0000-0000-000082000000}"/>
    <hyperlink ref="C134" r:id="rId132" xr:uid="{00000000-0004-0000-0000-000083000000}"/>
    <hyperlink ref="C135" r:id="rId133" xr:uid="{00000000-0004-0000-0000-000084000000}"/>
    <hyperlink ref="C136" r:id="rId134" xr:uid="{00000000-0004-0000-0000-000085000000}"/>
    <hyperlink ref="C137" r:id="rId135" xr:uid="{00000000-0004-0000-0000-000086000000}"/>
    <hyperlink ref="C138" r:id="rId136" xr:uid="{00000000-0004-0000-0000-000087000000}"/>
    <hyperlink ref="C139" r:id="rId137" xr:uid="{00000000-0004-0000-0000-000088000000}"/>
    <hyperlink ref="C140" r:id="rId138" xr:uid="{00000000-0004-0000-0000-000089000000}"/>
    <hyperlink ref="C141" r:id="rId139" xr:uid="{00000000-0004-0000-0000-00008A000000}"/>
    <hyperlink ref="C142" r:id="rId140" xr:uid="{00000000-0004-0000-0000-00008B000000}"/>
    <hyperlink ref="C143" r:id="rId141" xr:uid="{00000000-0004-0000-0000-00008C000000}"/>
    <hyperlink ref="C144" r:id="rId142" xr:uid="{00000000-0004-0000-0000-00008D000000}"/>
    <hyperlink ref="C145" r:id="rId143" xr:uid="{00000000-0004-0000-0000-00008E000000}"/>
    <hyperlink ref="C146" r:id="rId144" xr:uid="{00000000-0004-0000-0000-00008F000000}"/>
    <hyperlink ref="C147" r:id="rId145" xr:uid="{00000000-0004-0000-0000-000090000000}"/>
    <hyperlink ref="C148" r:id="rId146" xr:uid="{00000000-0004-0000-0000-000091000000}"/>
    <hyperlink ref="C149" r:id="rId147" xr:uid="{00000000-0004-0000-0000-000092000000}"/>
    <hyperlink ref="C150" r:id="rId148" xr:uid="{00000000-0004-0000-0000-000093000000}"/>
    <hyperlink ref="C151" r:id="rId149" xr:uid="{00000000-0004-0000-0000-000094000000}"/>
    <hyperlink ref="C152" r:id="rId150" xr:uid="{00000000-0004-0000-0000-000095000000}"/>
    <hyperlink ref="C153" r:id="rId151" xr:uid="{00000000-0004-0000-0000-000096000000}"/>
    <hyperlink ref="C154" r:id="rId152" xr:uid="{00000000-0004-0000-0000-000097000000}"/>
    <hyperlink ref="C155" r:id="rId153" xr:uid="{00000000-0004-0000-0000-000098000000}"/>
    <hyperlink ref="C156" r:id="rId154" xr:uid="{00000000-0004-0000-0000-000099000000}"/>
    <hyperlink ref="C157" r:id="rId155" xr:uid="{00000000-0004-0000-0000-00009A000000}"/>
    <hyperlink ref="C158" r:id="rId156" xr:uid="{00000000-0004-0000-0000-00009B000000}"/>
    <hyperlink ref="C159" r:id="rId157" xr:uid="{00000000-0004-0000-0000-00009C000000}"/>
    <hyperlink ref="C160" r:id="rId158" xr:uid="{00000000-0004-0000-0000-00009D000000}"/>
    <hyperlink ref="C161" r:id="rId159" xr:uid="{00000000-0004-0000-0000-00009E000000}"/>
    <hyperlink ref="C162" r:id="rId160" xr:uid="{00000000-0004-0000-0000-00009F000000}"/>
    <hyperlink ref="C163" r:id="rId161" xr:uid="{00000000-0004-0000-0000-0000A0000000}"/>
    <hyperlink ref="C164" r:id="rId162" xr:uid="{00000000-0004-0000-0000-0000A1000000}"/>
    <hyperlink ref="C165" r:id="rId163" xr:uid="{00000000-0004-0000-0000-0000A2000000}"/>
    <hyperlink ref="C166" r:id="rId164" xr:uid="{00000000-0004-0000-0000-0000A3000000}"/>
    <hyperlink ref="C167" r:id="rId165" xr:uid="{00000000-0004-0000-0000-0000A4000000}"/>
    <hyperlink ref="C168" r:id="rId166" xr:uid="{00000000-0004-0000-0000-0000A5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Main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Dillon Walton</dc:creator>
  <cp:lastModifiedBy>Dillon Walton</cp:lastModifiedBy>
  <dcterms:created xsi:type="dcterms:W3CDTF">2026-08-23T01:00:41Z</dcterms:created>
  <dcterms:modified xsi:type="dcterms:W3CDTF">2026-09-24T02:33:12Z</dcterms:modified>
</cp:coreProperties>
</file>